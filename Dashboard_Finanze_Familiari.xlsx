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nsazioni" sheetId="2" state="visible" r:id="rId4"/>
    <sheet name="Budget" sheetId="3" state="visible" r:id="rId5"/>
    <sheet name="Supporto" sheetId="4" state="hidden" r:id="rId6"/>
    <sheet name="Istruzioni" sheetId="5" state="visible" r:id="rId7"/>
  </sheets>
  <definedNames>
    <definedName function="false" hidden="false" localSheetId="0" name="_xlnm.Print_Area" vbProcedure="false">Dashboard!$A$1:$N$43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<sst xmlns="http://schemas.openxmlformats.org/spreadsheetml/2006/main" count="1105" uniqueCount="99">
  <si>
    <t xml:space="preserve">💶  GESTIONE FINANZE FAMILIARI</t>
  </si>
  <si>
    <t xml:space="preserve">Mese:</t>
  </si>
  <si>
    <t xml:space="preserve">Ago 2026</t>
  </si>
  <si>
    <t xml:space="preserve">Ecco il riepilogo delle finanze familiari</t>
  </si>
  <si>
    <t xml:space="preserve">SALDO TOTALE</t>
  </si>
  <si>
    <t xml:space="preserve">ENTRATE MESE</t>
  </si>
  <si>
    <t xml:space="preserve">USCITE MESE</t>
  </si>
  <si>
    <t xml:space="preserve">RISPARMIO MESE</t>
  </si>
  <si>
    <t xml:space="preserve">TASSO DI RISPARMIO</t>
  </si>
  <si>
    <t xml:space="preserve">TOP SPESA DEL MESE</t>
  </si>
  <si>
    <t xml:space="preserve">Analisi Spese per Categoria (Mese Selezionato)</t>
  </si>
  <si>
    <t xml:space="preserve">Transazioni Recenti (Mese Selezionato)</t>
  </si>
  <si>
    <t xml:space="preserve">Categoria</t>
  </si>
  <si>
    <t xml:space="preserve">Speso / Budget</t>
  </si>
  <si>
    <t xml:space="preserve">% Utilizzo</t>
  </si>
  <si>
    <t xml:space="preserve">Data</t>
  </si>
  <si>
    <t xml:space="preserve">Tipo</t>
  </si>
  <si>
    <t xml:space="preserve">Valore</t>
  </si>
  <si>
    <t xml:space="preserve">Modifica il budget nel foglio Budget · seleziona il mese in alto per aggiornare la dashboard</t>
  </si>
  <si>
    <t xml:space="preserve">Data e Ora</t>
  </si>
  <si>
    <t xml:space="preserve">Anno</t>
  </si>
  <si>
    <t xml:space="preserve">Mese</t>
  </si>
  <si>
    <t xml:space="preserve">AnnoMese</t>
  </si>
  <si>
    <t xml:space="preserve">MeseEtichetta</t>
  </si>
  <si>
    <t xml:space="preserve">Rank</t>
  </si>
  <si>
    <t xml:space="preserve">RankMese</t>
  </si>
  <si>
    <t xml:space="preserve">Ristoranti e Bar</t>
  </si>
  <si>
    <t xml:space="preserve">Uscita</t>
  </si>
  <si>
    <t xml:space="preserve">Casa e Bollette</t>
  </si>
  <si>
    <t xml:space="preserve">Alimentari</t>
  </si>
  <si>
    <t xml:space="preserve">Salute</t>
  </si>
  <si>
    <t xml:space="preserve">Rimborsi</t>
  </si>
  <si>
    <t xml:space="preserve">Entrata</t>
  </si>
  <si>
    <t xml:space="preserve">Svago</t>
  </si>
  <si>
    <t xml:space="preserve">Trasporti</t>
  </si>
  <si>
    <t xml:space="preserve">Abbigliamento</t>
  </si>
  <si>
    <t xml:space="preserve">Altre Spese</t>
  </si>
  <si>
    <t xml:space="preserve">Altri Redditi</t>
  </si>
  <si>
    <t xml:space="preserve">Assicurazioni</t>
  </si>
  <si>
    <t xml:space="preserve">Istruzione</t>
  </si>
  <si>
    <t xml:space="preserve">Stipendio</t>
  </si>
  <si>
    <t xml:space="preserve">Stipendio Partner</t>
  </si>
  <si>
    <t xml:space="preserve">Bonus</t>
  </si>
  <si>
    <t xml:space="preserve">Budget Mensile</t>
  </si>
  <si>
    <t xml:space="preserve">Note</t>
  </si>
  <si>
    <t xml:space="preserve">Tutte le Categorie</t>
  </si>
  <si>
    <t xml:space="preserve">Impostazioni Personali</t>
  </si>
  <si>
    <t xml:space="preserve">Nome (per il saluto in Dashboard)</t>
  </si>
  <si>
    <t xml:space="preserve">Andrea</t>
  </si>
  <si>
    <t xml:space="preserve">Obiettivo Tasso di Risparmio</t>
  </si>
  <si>
    <t xml:space="preserve">Entrate</t>
  </si>
  <si>
    <t xml:space="preserve">Uscite</t>
  </si>
  <si>
    <t xml:space="preserve">Risparmio</t>
  </si>
  <si>
    <t xml:space="preserve">TassoRisparmio</t>
  </si>
  <si>
    <t xml:space="preserve">SaldoCumulativo</t>
  </si>
  <si>
    <t xml:space="preserve">MeseSelezionatoLabel</t>
  </si>
  <si>
    <t xml:space="preserve">RigaMese</t>
  </si>
  <si>
    <t xml:space="preserve">AnnoMeseSelezionato</t>
  </si>
  <si>
    <t xml:space="preserve">EntrateMese</t>
  </si>
  <si>
    <t xml:space="preserve">UsciteMese</t>
  </si>
  <si>
    <t xml:space="preserve">RisparmioMese</t>
  </si>
  <si>
    <t xml:space="preserve">TassoRisparmioMese</t>
  </si>
  <si>
    <t xml:space="preserve">DeltaRisparmioVsMesePrec</t>
  </si>
  <si>
    <t xml:space="preserve">NumTransazioniMese</t>
  </si>
  <si>
    <t xml:space="preserve">SaldoTotaleAttuale</t>
  </si>
  <si>
    <t xml:space="preserve">NumMesiStorico</t>
  </si>
  <si>
    <t xml:space="preserve">Speso</t>
  </si>
  <si>
    <t xml:space="preserve">Budget</t>
  </si>
  <si>
    <t xml:space="preserve">Percentuale</t>
  </si>
  <si>
    <t xml:space="preserve">CategoriaMaxSpesa</t>
  </si>
  <si>
    <t xml:space="preserve">MaxSpesaValore</t>
  </si>
  <si>
    <t xml:space="preserve">CategoriaMaxPercentuale</t>
  </si>
  <si>
    <t xml:space="preserve">MaxPercentuale</t>
  </si>
  <si>
    <t xml:space="preserve">NumCategorieSforate</t>
  </si>
  <si>
    <t xml:space="preserve">ImportoSforamentoMax</t>
  </si>
  <si>
    <t xml:space="preserve">Pos</t>
  </si>
  <si>
    <t xml:space="preserve">ValoreSegnato</t>
  </si>
  <si>
    <t xml:space="preserve">Istruzioni per l'uso — Dashboard Finanze Familiari</t>
  </si>
  <si>
    <t xml:space="preserve">1. Come importare i tuoi dati dal CSV</t>
  </si>
  <si>
    <t xml:space="preserve">Il file CSV deve avere queste colonne, nell'ordine: Data e Ora (gg/mm/aaaa hh:mm) · Categoria · Valore (numero positivo) · Tipo (Entrata oppure Uscita).</t>
  </si>
  <si>
    <t xml:space="preserve">• Apri il foglio "Transazioni" e cancella le righe di esempio dalla riga 2 in poi (colonne A-D), mantenendo l'intestazione in riga 1.</t>
  </si>
  <si>
    <t xml:space="preserve">• Importa il CSV con Dati &gt; Da testo/CSV, oppure incolla i valori direttamente a partire dalla cella A2 nelle colonne A-D.</t>
  </si>
  <si>
    <t xml:space="preserve">• Le colonne E-J (Anno, Mese, AnnoMese, MeseEtichetta, Rank, RankMese) sono calcolate automaticamente: seleziona l'ultima riga con formule e trascinala verso il basso per coprire tutte le nuove righe importate.</t>
  </si>
  <si>
    <t xml:space="preserve">• Aggiorna anche gli intervalli con riferimento fisso (es. $A$2:$A$494) nei fogli Transazioni, Supporto e Dashboard se il numero di righe cambia in modo consistente.</t>
  </si>
  <si>
    <t xml:space="preserve">2. Come personalizzare il budget</t>
  </si>
  <si>
    <t xml:space="preserve">• Nel foglio "Budget" modifica gli importi in colonna B (celle evidenziate in giallo) per ogni categoria di spesa.</t>
  </si>
  <si>
    <t xml:space="preserve">• In fondo allo stesso foglio puoi impostare il tuo nome (usato nel saluto della Dashboard) e l'obiettivo di tasso di risparmio mensile.</t>
  </si>
  <si>
    <t xml:space="preserve">3. Come usare la Dashboard</t>
  </si>
  <si>
    <t xml:space="preserve">• Usa il menu a tendina "Mese" in alto a destra per cambiare il mese analizzato: le card, i grafici e le liste si aggiornano automaticamente.</t>
  </si>
  <si>
    <t xml:space="preserve">• Nella sezione "Analisi Spese per Categoria" la barra e l'importo diventano rossi quando superi il budget di quella categoria.</t>
  </si>
  <si>
    <t xml:space="preserve">• Il riquadro di avviso in basso segnala automaticamente la categoria più fuori budget nel mese selezionato.</t>
  </si>
  <si>
    <t xml:space="preserve">• Il grafico a sinistra mostra Entrate/Uscite mensili e il patrimonio netto cumulato; il grafico a destra la ripartizione delle spese del mese selezionato.</t>
  </si>
  <si>
    <t xml:space="preserve">4. Struttura dei fogli</t>
  </si>
  <si>
    <t xml:space="preserve">• Dashboard — vista d'insieme interattiva.</t>
  </si>
  <si>
    <t xml:space="preserve">• Transazioni — dati grezzi importati dal CSV (tabella "Transazioni").</t>
  </si>
  <si>
    <t xml:space="preserve">• Budget — budget mensile per categoria e impostazioni personali.</t>
  </si>
  <si>
    <t xml:space="preserve">• Supporto — calcoli di appoggio per la Dashboard (foglio nascosto: Home &gt; Formato &gt; Nascondi e scopri &gt; Scopri foglio per visualizzarlo). Non modificare i valori in questo foglio.</t>
  </si>
  <si>
    <t xml:space="preserve">Legenda</t>
  </si>
  <si>
    <t xml:space="preserve">  Cella modificabile (sfondo giallo, testo blu) — solo nel foglio Budget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</si>
</sst>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€#,##0;[RED]&quot;-€&quot;#,##0"/>
    <numFmt numFmtId="166" formatCode="0.0%"/>
    <numFmt numFmtId="167" formatCode="dd/mm\ hh:mm"/>
    <numFmt numFmtId="168" formatCode="[GREEN]\€#,##0.00;[RED]&quot;-€&quot;#,##0.00"/>
    <numFmt numFmtId="169" formatCode="\€#,##0"/>
    <numFmt numFmtId="170" formatCode="dd/mm/yyyy\ hh:mm"/>
    <numFmt numFmtId="171" formatCode="\€#,##0.00;[RED]&quot;-€&quot;#,##0.00"/>
    <numFmt numFmtId="172" formatCode="General"/>
    <numFmt numFmtId="173" formatCode="#,##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8A93A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1"/>
      <color rgb="FF8A93A0"/>
      <name val="Arial"/>
      <family val="0"/>
      <charset val="1"/>
    </font>
    <font>
      <b val="true"/>
      <sz val="11"/>
      <color rgb="FF0B0E11"/>
      <name val="Arial"/>
      <family val="0"/>
      <charset val="1"/>
    </font>
    <font>
      <sz val="11"/>
      <color rgb="FF8A93A0"/>
      <name val="Arial"/>
      <family val="0"/>
      <charset val="1"/>
    </font>
    <font>
      <sz val="9.5"/>
      <color rgb="FF8A93A0"/>
      <name val="Arial"/>
      <family val="0"/>
      <charset val="1"/>
    </font>
    <font>
      <b val="true"/>
      <sz val="8.5"/>
      <color rgb="FF8A93A0"/>
      <name val="Arial"/>
      <family val="0"/>
      <charset val="1"/>
    </font>
    <font>
      <b val="true"/>
      <sz val="16"/>
      <color rgb="FFFFFFFF"/>
      <name val="Consolas"/>
      <family val="0"/>
      <charset val="1"/>
    </font>
    <font>
      <b val="true"/>
      <sz val="16"/>
      <color rgb="FF2ECC71"/>
      <name val="Consolas"/>
      <family val="0"/>
      <charset val="1"/>
    </font>
    <font>
      <b val="true"/>
      <sz val="16"/>
      <color rgb="FFF0575A"/>
      <name val="Consolas"/>
      <family val="0"/>
      <charset val="1"/>
    </font>
    <font>
      <b val="true"/>
      <sz val="13"/>
      <color rgb="FF2DD4BF"/>
      <name val="Arial"/>
      <family val="0"/>
      <charset val="1"/>
    </font>
    <font>
      <sz val="8.5"/>
      <color rgb="FF5C647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8A93A0"/>
      <name val="Arial"/>
      <family val="0"/>
      <charset val="1"/>
    </font>
    <font>
      <sz val="10"/>
      <color rgb="FFFFFFFF"/>
      <name val="Arial"/>
      <family val="0"/>
      <charset val="1"/>
    </font>
    <font>
      <sz val="9.5"/>
      <color rgb="FF8A93A0"/>
      <name val="Consolas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8A93A0"/>
      <name val="Consolas"/>
      <family val="0"/>
      <charset val="1"/>
    </font>
    <font>
      <sz val="9.5"/>
      <color rgb="FFFFFFFF"/>
      <name val="Arial"/>
      <family val="0"/>
      <charset val="1"/>
    </font>
    <font>
      <b val="true"/>
      <sz val="10"/>
      <color rgb="FF8A93A0"/>
      <name val="Arial"/>
      <family val="0"/>
      <charset val="1"/>
    </font>
    <font>
      <b val="true"/>
      <sz val="10"/>
      <color rgb="FFF2F4F6"/>
      <name val="Consolas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.5"/>
      <color rgb="FF5C6472"/>
      <name val="Arial"/>
      <family val="0"/>
      <charset val="1"/>
    </font>
    <font>
      <b val="true"/>
      <sz val="12"/>
      <color rgb="FFFFFFFF"/>
      <name val="Calibri"/>
      <family val="2"/>
    </font>
    <font>
      <sz val="9"/>
      <color rgb="FF8A93A0"/>
      <name val="Calibri"/>
      <family val="2"/>
    </font>
    <font>
      <sz val="9"/>
      <color rgb="FF0B0E11"/>
      <name val="Calibri"/>
      <family val="2"/>
    </font>
    <font>
      <sz val="8"/>
      <color rgb="FF8A93A0"/>
      <name val="Calibri"/>
      <family val="2"/>
    </font>
    <font>
      <b val="true"/>
      <sz val="10.5"/>
      <color rgb="FFFFFFFF"/>
      <name val="Arial"/>
      <family val="0"/>
      <charset val="1"/>
    </font>
    <font>
      <sz val="10.5"/>
      <color rgb="FFF2F4F6"/>
      <name val="Arial"/>
      <family val="0"/>
      <charset val="1"/>
    </font>
    <font>
      <b val="true"/>
      <sz val="10.5"/>
      <color rgb="FF1D4ED8"/>
      <name val="Arial"/>
      <family val="0"/>
      <charset val="1"/>
    </font>
    <font>
      <i val="true"/>
      <sz val="9.5"/>
      <color rgb="FF5C6472"/>
      <name val="Arial"/>
      <family val="0"/>
      <charset val="1"/>
    </font>
    <font>
      <b val="true"/>
      <sz val="10"/>
      <color rgb="FFF2F4F6"/>
      <name val="Arial"/>
      <family val="0"/>
      <charset val="1"/>
    </font>
    <font>
      <i val="true"/>
      <sz val="9.5"/>
      <color rgb="FF8A93A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1"/>
      <color rgb="FFF2F4F6"/>
      <name val="Arial"/>
      <family val="0"/>
      <charset val="1"/>
    </font>
    <font>
      <b val="true"/>
      <sz val="11"/>
      <color rgb="FF1D4ED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5181D"/>
        <bgColor rgb="FF151A21"/>
      </patternFill>
    </fill>
    <fill>
      <patternFill patternType="solid">
        <fgColor rgb="FF0B0E11"/>
        <bgColor rgb="FF15181D"/>
      </patternFill>
    </fill>
    <fill>
      <patternFill patternType="solid">
        <fgColor rgb="FF2DD4BF"/>
        <bgColor rgb="FF34D399"/>
      </patternFill>
    </fill>
    <fill>
      <patternFill patternType="solid">
        <fgColor rgb="FF151A21"/>
        <bgColor rgb="FF15181D"/>
      </patternFill>
    </fill>
    <fill>
      <patternFill patternType="solid">
        <fgColor rgb="FF1B212A"/>
        <bgColor rgb="FF151A21"/>
      </patternFill>
    </fill>
    <fill>
      <patternFill patternType="solid">
        <fgColor rgb="FF1F2937"/>
        <bgColor rgb="FF222831"/>
      </patternFill>
    </fill>
    <fill>
      <patternFill patternType="solid">
        <fgColor rgb="FFFFF9C4"/>
        <bgColor rgb="FFFFFF99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2DD4BF"/>
      </left>
      <right/>
      <top style="thin">
        <color rgb="FF2DD4BF"/>
      </top>
      <bottom style="thin">
        <color rgb="FF2DD4BF"/>
      </bottom>
      <diagonal/>
    </border>
    <border diagonalUp="false" diagonalDown="false">
      <left style="thin">
        <color rgb="FF262C36"/>
      </left>
      <right/>
      <top style="thin">
        <color rgb="FF262C36"/>
      </top>
      <bottom/>
      <diagonal/>
    </border>
    <border diagonalUp="false" diagonalDown="false">
      <left style="thin">
        <color rgb="FF262C36"/>
      </left>
      <right/>
      <top/>
      <bottom/>
      <diagonal/>
    </border>
    <border diagonalUp="false" diagonalDown="false">
      <left style="thin">
        <color rgb="FF262C36"/>
      </left>
      <right/>
      <top/>
      <bottom style="thin">
        <color rgb="FF262C36"/>
      </bottom>
      <diagonal/>
    </border>
    <border diagonalUp="false" diagonalDown="false">
      <left style="thin">
        <color rgb="FF262C36"/>
      </left>
      <right/>
      <top style="thin">
        <color rgb="FF262C36"/>
      </top>
      <bottom style="thin">
        <color rgb="FF262C36"/>
      </bottom>
      <diagonal/>
    </border>
    <border diagonalUp="false" diagonalDown="false">
      <left style="thin">
        <color rgb="FF262C36"/>
      </left>
      <right style="thin">
        <color rgb="FF262C36"/>
      </right>
      <top style="thin">
        <color rgb="FF262C36"/>
      </top>
      <bottom style="thin">
        <color rgb="FF262C36"/>
      </bottom>
      <diagonal/>
    </border>
    <border diagonalUp="false" diagonalDown="false">
      <left/>
      <right/>
      <top/>
      <bottom style="thin">
        <color rgb="FF262C3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2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5" borderId="3" xfId="0" applyFont="true" applyBorder="true" applyAlignment="true" applyProtection="false">
      <alignment horizontal="left" vertical="center" textRotation="0" wrapText="false" indent="1" shrinkToFit="true"/>
      <protection locked="true" hidden="false"/>
    </xf>
    <xf numFmtId="164" fontId="16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5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3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9" fillId="3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4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ont>
        <name val="Consolas"/>
        <charset val="1"/>
        <family val="0"/>
        <b val="1"/>
        <color rgb="FF2ECC71"/>
        <sz val="16"/>
      </font>
    </dxf>
    <dxf>
      <font>
        <name val="Consolas"/>
        <charset val="1"/>
        <family val="0"/>
        <b val="1"/>
        <color rgb="FFF0575A"/>
        <sz val="16"/>
      </font>
    </dxf>
    <dxf>
      <font>
        <name val="Consolas"/>
        <charset val="1"/>
        <family val="0"/>
        <b val="1"/>
        <color rgb="FFF5A623"/>
        <sz val="16"/>
      </font>
    </dxf>
    <dxf>
      <font>
        <b val="1"/>
        <color rgb="FFF0575A"/>
        <sz val="10"/>
      </font>
    </dxf>
    <dxf>
      <font>
        <name val="Consolas"/>
        <charset val="1"/>
        <family val="0"/>
        <b val="1"/>
        <color rgb="FFF0575A"/>
        <sz val="9"/>
      </font>
    </dxf>
    <dxf>
      <font>
        <b val="1"/>
        <color rgb="FF2ECC71"/>
        <sz val="10"/>
      </font>
    </dxf>
    <dxf>
      <font>
        <b val="1"/>
        <color rgb="FFFCA5A5"/>
        <sz val="11"/>
      </font>
      <fill>
        <patternFill>
          <bgColor rgb="FF3A1E20"/>
        </patternFill>
      </fill>
    </dxf>
    <dxf>
      <font>
        <b val="1"/>
        <color rgb="FF86EFAC"/>
        <sz val="11"/>
      </font>
      <fill>
        <patternFill>
          <bgColor rgb="FF122A1E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4F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15181D"/>
      <rgbColor rgb="FF008000"/>
      <rgbColor rgb="FF111827"/>
      <rgbColor rgb="FF808000"/>
      <rgbColor rgb="FF151A21"/>
      <rgbColor rgb="FF4A9BF0"/>
      <rgbColor rgb="FF60A5FA"/>
      <rgbColor rgb="FF5C6472"/>
      <rgbColor rgb="FFA78BFA"/>
      <rgbColor rgb="FF993366"/>
      <rgbColor rgb="FFFFF9C4"/>
      <rgbColor rgb="FFF2F4F6"/>
      <rgbColor rgb="FF222831"/>
      <rgbColor rgb="FFF472B6"/>
      <rgbColor rgb="FF1D4ED8"/>
      <rgbColor rgb="FFCCCCFF"/>
      <rgbColor rgb="FF0B0E11"/>
      <rgbColor rgb="FFFF00FF"/>
      <rgbColor rgb="FFFFFF00"/>
      <rgbColor rgb="FF00FFFF"/>
      <rgbColor rgb="FF800080"/>
      <rgbColor rgb="FF1B212A"/>
      <rgbColor rgb="FF008080"/>
      <rgbColor rgb="FF0000FF"/>
      <rgbColor rgb="FF34D399"/>
      <rgbColor rgb="FFCCFFFF"/>
      <rgbColor rgb="FFCCFFCC"/>
      <rgbColor rgb="FFFFFF99"/>
      <rgbColor rgb="FF86EFAC"/>
      <rgbColor rgb="FFFCA5A5"/>
      <rgbColor rgb="FFCC99FF"/>
      <rgbColor rgb="FFFFCC99"/>
      <rgbColor rgb="FF4F81BD"/>
      <rgbColor rgb="FF2DD4BF"/>
      <rgbColor rgb="FF99CC00"/>
      <rgbColor rgb="FFFBBF24"/>
      <rgbColor rgb="FFF5A623"/>
      <rgbColor rgb="FFF0575A"/>
      <rgbColor rgb="FF6B7280"/>
      <rgbColor rgb="FF8A93A0"/>
      <rgbColor rgb="FF1F2937"/>
      <rgbColor rgb="FF2ECC71"/>
      <rgbColor rgb="FF122A1E"/>
      <rgbColor rgb="FF3A1E20"/>
      <rgbColor rgb="FF993300"/>
      <rgbColor rgb="FF993366"/>
      <rgbColor rgb="FF374151"/>
      <rgbColor rgb="FF262C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fffff"/>
                </a:solidFill>
                <a:latin typeface="Calibri"/>
              </a:defRPr>
            </a:pPr>
            <a:r>
              <a:rPr b="1" sz="1200" spc="-1" strike="noStrike">
                <a:solidFill>
                  <a:srgbClr val="ffffff"/>
                </a:solidFill>
                <a:latin typeface="Calibri"/>
              </a:rPr>
              <a:t>Entrate vs Uscite e Saldo Cumulativo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Supporto!C1</c:f>
              <c:strCache>
                <c:ptCount val="1"/>
                <c:pt idx="0">
                  <c:v>Entrate</c:v>
                </c:pt>
              </c:strCache>
            </c:strRef>
          </c:tx>
          <c:spPr>
            <a:solidFill>
              <a:srgbClr val="2ecc7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Supporto!$B$2:$B$15</c:f>
              <c:strCache>
                <c:ptCount val="14"/>
                <c:pt idx="0">
                  <c:v>Lug 2025</c:v>
                </c:pt>
                <c:pt idx="1">
                  <c:v>Ago 2025</c:v>
                </c:pt>
                <c:pt idx="2">
                  <c:v>Set 2025</c:v>
                </c:pt>
                <c:pt idx="3">
                  <c:v>Ott 2025</c:v>
                </c:pt>
                <c:pt idx="4">
                  <c:v>Nov 2025</c:v>
                </c:pt>
                <c:pt idx="5">
                  <c:v>Dic 2025</c:v>
                </c:pt>
                <c:pt idx="6">
                  <c:v>Gen 2026</c:v>
                </c:pt>
                <c:pt idx="7">
                  <c:v>Feb 2026</c:v>
                </c:pt>
                <c:pt idx="8">
                  <c:v>Mar 2026</c:v>
                </c:pt>
                <c:pt idx="9">
                  <c:v>Apr 2026</c:v>
                </c:pt>
                <c:pt idx="10">
                  <c:v>Mag 2026</c:v>
                </c:pt>
                <c:pt idx="11">
                  <c:v>Giu 2026</c:v>
                </c:pt>
                <c:pt idx="12">
                  <c:v>Lug 2026</c:v>
                </c:pt>
                <c:pt idx="13">
                  <c:v>Ago 2026</c:v>
                </c:pt>
              </c:strCache>
            </c:strRef>
          </c:cat>
          <c:val>
            <c:numRef>
              <c:f>Supporto!$C$2:$C$15</c:f>
              <c:numCache>
                <c:formatCode>\€#,##0.00;[RED]"-€"#,##0.00</c:formatCode>
                <c:ptCount val="14"/>
                <c:pt idx="0">
                  <c:v>4601.92</c:v>
                </c:pt>
                <c:pt idx="1">
                  <c:v>4838.51</c:v>
                </c:pt>
                <c:pt idx="2">
                  <c:v>4821.81</c:v>
                </c:pt>
                <c:pt idx="3">
                  <c:v>4554.33</c:v>
                </c:pt>
                <c:pt idx="4">
                  <c:v>4494.97</c:v>
                </c:pt>
                <c:pt idx="5">
                  <c:v>4716.74</c:v>
                </c:pt>
                <c:pt idx="6">
                  <c:v>4350.03</c:v>
                </c:pt>
                <c:pt idx="7">
                  <c:v>4335.84</c:v>
                </c:pt>
                <c:pt idx="8">
                  <c:v>5037.22</c:v>
                </c:pt>
                <c:pt idx="9">
                  <c:v>4371.98</c:v>
                </c:pt>
                <c:pt idx="10">
                  <c:v>4566.81</c:v>
                </c:pt>
                <c:pt idx="11">
                  <c:v>4701.48</c:v>
                </c:pt>
                <c:pt idx="12">
                  <c:v>4454.01</c:v>
                </c:pt>
                <c:pt idx="13">
                  <c:v>4401.16</c:v>
                </c:pt>
              </c:numCache>
            </c:numRef>
          </c:val>
        </c:ser>
        <c:ser>
          <c:idx val="1"/>
          <c:order val="1"/>
          <c:tx>
            <c:strRef>
              <c:f>Supporto!D1</c:f>
              <c:strCache>
                <c:ptCount val="1"/>
                <c:pt idx="0">
                  <c:v>Uscite</c:v>
                </c:pt>
              </c:strCache>
            </c:strRef>
          </c:tx>
          <c:spPr>
            <a:solidFill>
              <a:srgbClr val="f0575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Supporto!$B$2:$B$15</c:f>
              <c:strCache>
                <c:ptCount val="14"/>
                <c:pt idx="0">
                  <c:v>Lug 2025</c:v>
                </c:pt>
                <c:pt idx="1">
                  <c:v>Ago 2025</c:v>
                </c:pt>
                <c:pt idx="2">
                  <c:v>Set 2025</c:v>
                </c:pt>
                <c:pt idx="3">
                  <c:v>Ott 2025</c:v>
                </c:pt>
                <c:pt idx="4">
                  <c:v>Nov 2025</c:v>
                </c:pt>
                <c:pt idx="5">
                  <c:v>Dic 2025</c:v>
                </c:pt>
                <c:pt idx="6">
                  <c:v>Gen 2026</c:v>
                </c:pt>
                <c:pt idx="7">
                  <c:v>Feb 2026</c:v>
                </c:pt>
                <c:pt idx="8">
                  <c:v>Mar 2026</c:v>
                </c:pt>
                <c:pt idx="9">
                  <c:v>Apr 2026</c:v>
                </c:pt>
                <c:pt idx="10">
                  <c:v>Mag 2026</c:v>
                </c:pt>
                <c:pt idx="11">
                  <c:v>Giu 2026</c:v>
                </c:pt>
                <c:pt idx="12">
                  <c:v>Lug 2026</c:v>
                </c:pt>
                <c:pt idx="13">
                  <c:v>Ago 2026</c:v>
                </c:pt>
              </c:strCache>
            </c:strRef>
          </c:cat>
          <c:val>
            <c:numRef>
              <c:f>Supporto!$D$2:$D$15</c:f>
              <c:numCache>
                <c:formatCode>\€#,##0.00;[RED]"-€"#,##0.00</c:formatCode>
                <c:ptCount val="14"/>
                <c:pt idx="0">
                  <c:v>2154.12</c:v>
                </c:pt>
                <c:pt idx="1">
                  <c:v>2189.95</c:v>
                </c:pt>
                <c:pt idx="2">
                  <c:v>2120.98</c:v>
                </c:pt>
                <c:pt idx="3">
                  <c:v>2164.37</c:v>
                </c:pt>
                <c:pt idx="4">
                  <c:v>2369.71</c:v>
                </c:pt>
                <c:pt idx="5">
                  <c:v>2249.04</c:v>
                </c:pt>
                <c:pt idx="6">
                  <c:v>2082.8</c:v>
                </c:pt>
                <c:pt idx="7">
                  <c:v>2274.03</c:v>
                </c:pt>
                <c:pt idx="8">
                  <c:v>2046.42</c:v>
                </c:pt>
                <c:pt idx="9">
                  <c:v>1972.74</c:v>
                </c:pt>
                <c:pt idx="10">
                  <c:v>2319.41</c:v>
                </c:pt>
                <c:pt idx="11">
                  <c:v>2134.08</c:v>
                </c:pt>
                <c:pt idx="12">
                  <c:v>2013.32</c:v>
                </c:pt>
                <c:pt idx="13">
                  <c:v>2208.82</c:v>
                </c:pt>
              </c:numCache>
            </c:numRef>
          </c:val>
        </c:ser>
        <c:gapWidth val="70"/>
        <c:overlap val="-10"/>
        <c:axId val="42321298"/>
        <c:axId val="25623366"/>
      </c:barChart>
      <c:lineChart>
        <c:grouping val="standard"/>
        <c:varyColors val="0"/>
        <c:ser>
          <c:idx val="2"/>
          <c:order val="2"/>
          <c:tx>
            <c:strRef>
              <c:f>Supporto!G1</c:f>
              <c:strCache>
                <c:ptCount val="1"/>
                <c:pt idx="0">
                  <c:v>SaldoCumulativo</c:v>
                </c:pt>
              </c:strCache>
            </c:strRef>
          </c:tx>
          <c:spPr>
            <a:solidFill>
              <a:srgbClr val="2dd4bf"/>
            </a:solidFill>
            <a:ln w="21960">
              <a:solidFill>
                <a:srgbClr val="2dd4bf"/>
              </a:solidFill>
              <a:round/>
            </a:ln>
          </c:spPr>
          <c:marker>
            <c:symbol val="circle"/>
            <c:size val="6"/>
            <c:spPr>
              <a:solidFill>
                <a:srgbClr val="2dd4b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Supporto!$B$2:$B$15</c:f>
              <c:strCache>
                <c:ptCount val="14"/>
                <c:pt idx="0">
                  <c:v>Lug 2025</c:v>
                </c:pt>
                <c:pt idx="1">
                  <c:v>Ago 2025</c:v>
                </c:pt>
                <c:pt idx="2">
                  <c:v>Set 2025</c:v>
                </c:pt>
                <c:pt idx="3">
                  <c:v>Ott 2025</c:v>
                </c:pt>
                <c:pt idx="4">
                  <c:v>Nov 2025</c:v>
                </c:pt>
                <c:pt idx="5">
                  <c:v>Dic 2025</c:v>
                </c:pt>
                <c:pt idx="6">
                  <c:v>Gen 2026</c:v>
                </c:pt>
                <c:pt idx="7">
                  <c:v>Feb 2026</c:v>
                </c:pt>
                <c:pt idx="8">
                  <c:v>Mar 2026</c:v>
                </c:pt>
                <c:pt idx="9">
                  <c:v>Apr 2026</c:v>
                </c:pt>
                <c:pt idx="10">
                  <c:v>Mag 2026</c:v>
                </c:pt>
                <c:pt idx="11">
                  <c:v>Giu 2026</c:v>
                </c:pt>
                <c:pt idx="12">
                  <c:v>Lug 2026</c:v>
                </c:pt>
                <c:pt idx="13">
                  <c:v>Ago 2026</c:v>
                </c:pt>
              </c:strCache>
            </c:strRef>
          </c:cat>
          <c:val>
            <c:numRef>
              <c:f>Supporto!$G$2:$G$15</c:f>
              <c:numCache>
                <c:formatCode>\€#,##0.00;[RED]"-€"#,##0.00</c:formatCode>
                <c:ptCount val="14"/>
                <c:pt idx="0">
                  <c:v>2447.8</c:v>
                </c:pt>
                <c:pt idx="1">
                  <c:v>5096.36</c:v>
                </c:pt>
                <c:pt idx="2">
                  <c:v>7797.19</c:v>
                </c:pt>
                <c:pt idx="3">
                  <c:v>10187.15</c:v>
                </c:pt>
                <c:pt idx="4">
                  <c:v>12312.41</c:v>
                </c:pt>
                <c:pt idx="5">
                  <c:v>14780.11</c:v>
                </c:pt>
                <c:pt idx="6">
                  <c:v>17047.34</c:v>
                </c:pt>
                <c:pt idx="7">
                  <c:v>19109.15</c:v>
                </c:pt>
                <c:pt idx="8">
                  <c:v>22099.95</c:v>
                </c:pt>
                <c:pt idx="9">
                  <c:v>24499.19</c:v>
                </c:pt>
                <c:pt idx="10">
                  <c:v>26746.59</c:v>
                </c:pt>
                <c:pt idx="11">
                  <c:v>29313.99</c:v>
                </c:pt>
                <c:pt idx="12">
                  <c:v>31754.68</c:v>
                </c:pt>
                <c:pt idx="13">
                  <c:v>33947.02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6686612"/>
        <c:axId val="17859977"/>
      </c:lineChart>
      <c:catAx>
        <c:axId val="423212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262c3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8a93a0"/>
                </a:solidFill>
                <a:latin typeface="Calibri"/>
              </a:defRPr>
            </a:pPr>
          </a:p>
        </c:txPr>
        <c:crossAx val="25623366"/>
        <c:crosses val="autoZero"/>
        <c:auto val="1"/>
        <c:lblAlgn val="ctr"/>
        <c:lblOffset val="100"/>
        <c:noMultiLvlLbl val="0"/>
      </c:catAx>
      <c:valAx>
        <c:axId val="25623366"/>
        <c:scaling>
          <c:orientation val="minMax"/>
        </c:scaling>
        <c:delete val="0"/>
        <c:axPos val="l"/>
        <c:majorGridlines>
          <c:spPr>
            <a:ln w="6120">
              <a:solidFill>
                <a:srgbClr val="222831"/>
              </a:solidFill>
              <a:round/>
            </a:ln>
          </c:spPr>
        </c:majorGridlines>
        <c:numFmt formatCode="\€#,##0" sourceLinked="0"/>
        <c:majorTickMark val="none"/>
        <c:minorTickMark val="none"/>
        <c:tickLblPos val="nextTo"/>
        <c:spPr>
          <a:ln w="9360">
            <a:solidFill>
              <a:srgbClr val="262c3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8a93a0"/>
                </a:solidFill>
                <a:latin typeface="Calibri"/>
              </a:defRPr>
            </a:pPr>
          </a:p>
        </c:txPr>
        <c:crossAx val="42321298"/>
        <c:crosses val="autoZero"/>
        <c:crossBetween val="between"/>
      </c:valAx>
      <c:catAx>
        <c:axId val="36686612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262c3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8a93a0"/>
                </a:solidFill>
                <a:latin typeface="Calibri"/>
              </a:defRPr>
            </a:pPr>
          </a:p>
        </c:txPr>
        <c:crossAx val="17859977"/>
        <c:crosses val="autoZero"/>
        <c:auto val="1"/>
        <c:lblAlgn val="ctr"/>
        <c:lblOffset val="100"/>
        <c:noMultiLvlLbl val="0"/>
      </c:catAx>
      <c:valAx>
        <c:axId val="17859977"/>
        <c:scaling>
          <c:orientation val="minMax"/>
        </c:scaling>
        <c:delete val="0"/>
        <c:axPos val="r"/>
        <c:numFmt formatCode="\€#,##0" sourceLinked="0"/>
        <c:majorTickMark val="none"/>
        <c:minorTickMark val="none"/>
        <c:tickLblPos val="nextTo"/>
        <c:spPr>
          <a:ln w="9360">
            <a:solidFill>
              <a:srgbClr val="262c3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8a93a0"/>
                </a:solidFill>
                <a:latin typeface="Calibri"/>
              </a:defRPr>
            </a:pPr>
          </a:p>
        </c:txPr>
        <c:crossAx val="36686612"/>
        <c:crosses val="max"/>
        <c:crossBetween val="between"/>
      </c:valAx>
      <c:spPr>
        <a:solidFill>
          <a:srgbClr val="151a21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8a93a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51a21"/>
    </a:solidFill>
    <a:ln w="9360">
      <a:solidFill>
        <a:srgbClr val="262c36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fffff"/>
                </a:solidFill>
                <a:latin typeface="Calibri"/>
              </a:defRPr>
            </a:pPr>
            <a:r>
              <a:rPr b="1" sz="1200" spc="-1" strike="noStrike">
                <a:solidFill>
                  <a:srgbClr val="ffffff"/>
                </a:solidFill>
                <a:latin typeface="Calibri"/>
              </a:rPr>
              <a:t>Ripartizione Spese per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Supporto!B20</c:f>
              <c:strCache>
                <c:ptCount val="1"/>
                <c:pt idx="0">
                  <c:v>Speso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cc71"/>
              </a:solidFill>
              <a:ln w="0">
                <a:solidFill>
                  <a:srgbClr val="151a21"/>
                </a:solidFill>
              </a:ln>
            </c:spPr>
          </c:dPt>
          <c:dPt>
            <c:idx val="1"/>
            <c:spPr>
              <a:solidFill>
                <a:srgbClr val="4a9bf0"/>
              </a:solidFill>
              <a:ln w="0">
                <a:solidFill>
                  <a:srgbClr val="151a21"/>
                </a:solidFill>
              </a:ln>
            </c:spPr>
          </c:dPt>
          <c:dPt>
            <c:idx val="2"/>
            <c:spPr>
              <a:solidFill>
                <a:srgbClr val="f5a623"/>
              </a:solidFill>
              <a:ln w="0">
                <a:solidFill>
                  <a:srgbClr val="151a21"/>
                </a:solidFill>
              </a:ln>
            </c:spPr>
          </c:dPt>
          <c:dPt>
            <c:idx val="3"/>
            <c:spPr>
              <a:solidFill>
                <a:srgbClr val="a78bfa"/>
              </a:solidFill>
              <a:ln w="0">
                <a:solidFill>
                  <a:srgbClr val="151a21"/>
                </a:solidFill>
              </a:ln>
            </c:spPr>
          </c:dPt>
          <c:dPt>
            <c:idx val="4"/>
            <c:spPr>
              <a:solidFill>
                <a:srgbClr val="2dd4bf"/>
              </a:solidFill>
              <a:ln w="0">
                <a:solidFill>
                  <a:srgbClr val="151a21"/>
                </a:solidFill>
              </a:ln>
            </c:spPr>
          </c:dPt>
          <c:dPt>
            <c:idx val="5"/>
            <c:spPr>
              <a:solidFill>
                <a:srgbClr val="f0575a"/>
              </a:solidFill>
              <a:ln w="0">
                <a:solidFill>
                  <a:srgbClr val="151a21"/>
                </a:solidFill>
              </a:ln>
            </c:spPr>
          </c:dPt>
          <c:dPt>
            <c:idx val="6"/>
            <c:spPr>
              <a:solidFill>
                <a:srgbClr val="f472b6"/>
              </a:solidFill>
              <a:ln w="0">
                <a:solidFill>
                  <a:srgbClr val="151a21"/>
                </a:solidFill>
              </a:ln>
            </c:spPr>
          </c:dPt>
          <c:dPt>
            <c:idx val="7"/>
            <c:spPr>
              <a:solidFill>
                <a:srgbClr val="60a5fa"/>
              </a:solidFill>
              <a:ln w="0">
                <a:solidFill>
                  <a:srgbClr val="151a21"/>
                </a:solidFill>
              </a:ln>
            </c:spPr>
          </c:dPt>
          <c:dPt>
            <c:idx val="8"/>
            <c:spPr>
              <a:solidFill>
                <a:srgbClr val="fbbf24"/>
              </a:solidFill>
              <a:ln w="0">
                <a:solidFill>
                  <a:srgbClr val="151a21"/>
                </a:solidFill>
              </a:ln>
            </c:spPr>
          </c:dPt>
          <c:dPt>
            <c:idx val="9"/>
            <c:spPr>
              <a:solidFill>
                <a:srgbClr val="34d399"/>
              </a:solidFill>
              <a:ln w="0">
                <a:solidFill>
                  <a:srgbClr val="151a21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b0e11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b0e11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b0e11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b0e11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b0e11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b0e11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b0e11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b0e11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b0e11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b0e11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0b0e11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Supporto!$A$21:$A$30</c:f>
              <c:strCache>
                <c:ptCount val="10"/>
                <c:pt idx="0">
                  <c:v>Alimentari</c:v>
                </c:pt>
                <c:pt idx="1">
                  <c:v>Casa e Bollette</c:v>
                </c:pt>
                <c:pt idx="2">
                  <c:v>Trasporti</c:v>
                </c:pt>
                <c:pt idx="3">
                  <c:v>Ristoranti e Bar</c:v>
                </c:pt>
                <c:pt idx="4">
                  <c:v>Svago</c:v>
                </c:pt>
                <c:pt idx="5">
                  <c:v>Salute</c:v>
                </c:pt>
                <c:pt idx="6">
                  <c:v>Istruzione</c:v>
                </c:pt>
                <c:pt idx="7">
                  <c:v>Abbigliamento</c:v>
                </c:pt>
                <c:pt idx="8">
                  <c:v>Assicurazioni</c:v>
                </c:pt>
                <c:pt idx="9">
                  <c:v>Altre Spese</c:v>
                </c:pt>
              </c:strCache>
            </c:strRef>
          </c:cat>
          <c:val>
            <c:numRef>
              <c:f>Supporto!$B$21:$B$30</c:f>
              <c:numCache>
                <c:formatCode>\€#,##0.00;[RED]"-€"#,##0.00</c:formatCode>
                <c:ptCount val="10"/>
                <c:pt idx="0">
                  <c:v>582.83</c:v>
                </c:pt>
                <c:pt idx="1">
                  <c:v>879.91</c:v>
                </c:pt>
                <c:pt idx="2">
                  <c:v>140.55</c:v>
                </c:pt>
                <c:pt idx="3">
                  <c:v>130.41</c:v>
                </c:pt>
                <c:pt idx="4">
                  <c:v>77.79</c:v>
                </c:pt>
                <c:pt idx="5">
                  <c:v>136.69</c:v>
                </c:pt>
                <c:pt idx="6">
                  <c:v>83.75</c:v>
                </c:pt>
                <c:pt idx="7">
                  <c:v>41.42</c:v>
                </c:pt>
                <c:pt idx="8">
                  <c:v>98.37</c:v>
                </c:pt>
                <c:pt idx="9">
                  <c:v>37.1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8a93a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51a21"/>
    </a:solidFill>
    <a:ln w="9360">
      <a:solidFill>
        <a:srgbClr val="262c36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7</xdr:col>
      <xdr:colOff>276120</xdr:colOff>
      <xdr:row>24</xdr:row>
      <xdr:rowOff>92160</xdr:rowOff>
    </xdr:to>
    <xdr:graphicFrame>
      <xdr:nvGraphicFramePr>
        <xdr:cNvPr id="0" name="Chart 1"/>
        <xdr:cNvGraphicFramePr/>
      </xdr:nvGraphicFramePr>
      <xdr:xfrm>
        <a:off x="0" y="2486160"/>
        <a:ext cx="6623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0</xdr:rowOff>
    </xdr:from>
    <xdr:to>
      <xdr:col>13</xdr:col>
      <xdr:colOff>498960</xdr:colOff>
      <xdr:row>24</xdr:row>
      <xdr:rowOff>92160</xdr:rowOff>
    </xdr:to>
    <xdr:graphicFrame>
      <xdr:nvGraphicFramePr>
        <xdr:cNvPr id="1" name="Chart 2"/>
        <xdr:cNvGraphicFramePr/>
      </xdr:nvGraphicFramePr>
      <xdr:xfrm>
        <a:off x="6347520" y="2486160"/>
        <a:ext cx="5939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udget" displayName="Budget" ref="A1:B11" headerRowCount="1" totalsRowCount="0" totalsRowShown="0">
  <autoFilter ref="A1:B11"/>
  <tableColumns count="2">
    <tableColumn id="1" name="Categoria"/>
    <tableColumn id="2" name="Budget Mensile"/>
  </tableColumns>
</table>
</file>

<file path=xl/tables/table2.xml><?xml version="1.0" encoding="utf-8"?>
<table xmlns="http://schemas.openxmlformats.org/spreadsheetml/2006/main" id="2" name="RiepilogoMensile" displayName="RiepilogoMensile" ref="A1:G15" headerRowCount="1" totalsRowCount="0" totalsRowShown="0">
  <autoFilter ref="A1:G15"/>
  <tableColumns count="7">
    <tableColumn id="1" name="AnnoMese"/>
    <tableColumn id="2" name="MeseEtichetta"/>
    <tableColumn id="3" name="Entrate"/>
    <tableColumn id="4" name="Uscite"/>
    <tableColumn id="5" name="Risparmio"/>
    <tableColumn id="6" name="TassoRisparmio"/>
    <tableColumn id="7" name="SaldoCumulativo"/>
  </tableColumns>
</table>
</file>

<file path=xl/tables/table3.xml><?xml version="1.0" encoding="utf-8"?>
<table xmlns="http://schemas.openxmlformats.org/spreadsheetml/2006/main" id="3" name="Transazioni" displayName="Transazioni" ref="A1:J494" headerRowCount="1" totalsRowCount="0" totalsRowShown="0">
  <autoFilter ref="A1:J494"/>
  <tableColumns count="10">
    <tableColumn id="1" name="Data e Ora"/>
    <tableColumn id="2" name="Categoria"/>
    <tableColumn id="3" name="Tipo"/>
    <tableColumn id="4" name="Valore"/>
    <tableColumn id="5" name="Anno"/>
    <tableColumn id="6" name="Mese"/>
    <tableColumn id="7" name="AnnoMese"/>
    <tableColumn id="8" name="MeseEtichetta"/>
    <tableColumn id="9" name="Rank"/>
    <tableColumn id="10" name="RankMes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D4BF"/>
    <pageSetUpPr fitToPage="true"/>
  </sheetPr>
  <dimension ref="A1:N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4" min="1" style="0" width="10.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 t="str">
        <f aca="false">"Dati al "&amp;TEXT(MAX(Transazioni!$A$2:$A$494),"dd/mm/yyyy")</f>
        <v>Dati al 27/08/2026</v>
      </c>
      <c r="J1" s="2"/>
      <c r="K1" s="2"/>
      <c r="L1" s="2"/>
      <c r="M1" s="2"/>
      <c r="N1" s="2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24" hidden="false" customHeight="true" outlineLevel="0" collapsed="false">
      <c r="A3" s="4" t="str">
        <f aca="false">"Buonasera, "&amp;Budget!$B$15</f>
        <v>Buonasera, Andrea</v>
      </c>
      <c r="B3" s="4"/>
      <c r="C3" s="4"/>
      <c r="D3" s="4"/>
      <c r="E3" s="4"/>
      <c r="F3" s="4"/>
      <c r="G3" s="5" t="s">
        <v>1</v>
      </c>
      <c r="H3" s="6" t="s">
        <v>2</v>
      </c>
      <c r="I3" s="6"/>
      <c r="J3" s="3"/>
      <c r="K3" s="3"/>
      <c r="L3" s="3"/>
      <c r="M3" s="3"/>
      <c r="N3" s="3"/>
    </row>
    <row r="4" customFormat="false" ht="18" hidden="false" customHeight="true" outlineLevel="0" collapsed="false">
      <c r="A4" s="7" t="s">
        <v>3</v>
      </c>
      <c r="B4" s="7"/>
      <c r="C4" s="7"/>
      <c r="D4" s="7"/>
      <c r="E4" s="7"/>
      <c r="F4" s="7"/>
      <c r="G4" s="8" t="str">
        <f aca="false">"Transazioni nel mese: "&amp;Supporto!$J$10</f>
        <v>Transazioni nel mese: 31</v>
      </c>
      <c r="H4" s="8"/>
      <c r="I4" s="8"/>
      <c r="J4" s="3"/>
      <c r="K4" s="3"/>
      <c r="L4" s="3"/>
      <c r="M4" s="3"/>
      <c r="N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7.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customFormat="false" ht="15.75" hidden="false" customHeight="true" outlineLevel="0" collapsed="false">
      <c r="A7" s="9" t="s">
        <v>4</v>
      </c>
      <c r="B7" s="9"/>
      <c r="C7" s="9" t="s">
        <v>5</v>
      </c>
      <c r="D7" s="9"/>
      <c r="E7" s="9" t="s">
        <v>6</v>
      </c>
      <c r="F7" s="9"/>
      <c r="G7" s="9" t="s">
        <v>7</v>
      </c>
      <c r="H7" s="9"/>
      <c r="I7" s="9" t="s">
        <v>8</v>
      </c>
      <c r="J7" s="9"/>
      <c r="K7" s="9" t="s">
        <v>9</v>
      </c>
      <c r="L7" s="9"/>
      <c r="M7" s="3"/>
      <c r="N7" s="3"/>
    </row>
    <row r="8" customFormat="false" ht="25.5" hidden="false" customHeight="true" outlineLevel="0" collapsed="false">
      <c r="A8" s="10" t="n">
        <f aca="false">Supporto!$J$11</f>
        <v>33947.02</v>
      </c>
      <c r="B8" s="10"/>
      <c r="C8" s="11" t="n">
        <f aca="false">Supporto!$J$5</f>
        <v>4401.16</v>
      </c>
      <c r="D8" s="11"/>
      <c r="E8" s="12" t="n">
        <f aca="false">Supporto!$J$6</f>
        <v>2208.82</v>
      </c>
      <c r="F8" s="12"/>
      <c r="G8" s="10" t="n">
        <f aca="false">Supporto!$J$7</f>
        <v>2192.34</v>
      </c>
      <c r="H8" s="10"/>
      <c r="I8" s="13" t="n">
        <f aca="false">Supporto!$J$8</f>
        <v>0.498127766316153</v>
      </c>
      <c r="J8" s="13"/>
      <c r="K8" s="14" t="str">
        <f aca="false">Supporto!$J$32</f>
        <v>Casa e Bollette</v>
      </c>
      <c r="L8" s="14"/>
      <c r="M8" s="3"/>
      <c r="N8" s="3"/>
    </row>
    <row r="9" customFormat="false" ht="15.75" hidden="false" customHeight="true" outlineLevel="0" collapsed="false">
      <c r="A9" s="15" t="str">
        <f aca="false">"Patrimonio netto attuale"</f>
        <v>Patrimonio netto attuale</v>
      </c>
      <c r="B9" s="15"/>
      <c r="C9" s="15" t="str">
        <f aca="false">"Mese selezionato: "&amp;$H$3</f>
        <v>Mese selezionato: Ago 2026</v>
      </c>
      <c r="D9" s="15"/>
      <c r="E9" s="15" t="str">
        <f aca="false">"N. transazioni: "&amp;Supporto!$J$10</f>
        <v>N. transazioni: 31</v>
      </c>
      <c r="F9" s="15"/>
      <c r="G9" s="15" t="str">
        <f aca="false">IF(Supporto!$J$9="","Primo mese disponibile","vs mese prec.: "&amp;TEXT(Supporto!$J$9,"€#,##0;-€#,##0"))</f>
        <v>vs mese prec.: -€248</v>
      </c>
      <c r="H9" s="15"/>
      <c r="I9" s="15" t="str">
        <f aca="false">"Obiettivo: "&amp;TEXT(Budget!$B$16,"0%")</f>
        <v>Obiettivo: 20%</v>
      </c>
      <c r="J9" s="15"/>
      <c r="K9" s="15" t="str">
        <f aca="false">"€"&amp;TEXT(Supporto!$J$33,"#,##0")&amp;" questo mese"</f>
        <v>€880 questo mese</v>
      </c>
      <c r="L9" s="15"/>
      <c r="M9" s="3"/>
      <c r="N9" s="3"/>
    </row>
    <row r="10" customFormat="false" ht="7.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customFormat="false" ht="21.75" hidden="false" customHeight="true" outlineLevel="0" collapsed="false">
      <c r="A11" s="16" t="str">
        <f aca="false">"Andamento Patrimonio ("&amp;Supporto!$J$12&amp;" mesi)"</f>
        <v>Andamento Patrimonio (14 mesi)</v>
      </c>
      <c r="B11" s="16"/>
      <c r="C11" s="16"/>
      <c r="D11" s="16"/>
      <c r="E11" s="16"/>
      <c r="F11" s="16"/>
      <c r="G11" s="16"/>
      <c r="H11" s="16" t="str">
        <f aca="false">"Ripartizione Spese — "&amp;$H$3</f>
        <v>Ripartizione Spese — Ago 2026</v>
      </c>
      <c r="I11" s="16"/>
      <c r="J11" s="16"/>
      <c r="K11" s="16"/>
      <c r="L11" s="16"/>
      <c r="M11" s="16"/>
      <c r="N11" s="16"/>
    </row>
    <row r="12" customFormat="false" ht="19.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customFormat="false" ht="19.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customFormat="false" ht="19.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customFormat="false" ht="19.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customFormat="false" ht="19.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customFormat="false" ht="19.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customFormat="false" ht="19.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customFormat="false" ht="19.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customFormat="false" ht="19.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customFormat="false" ht="19.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customFormat="false" ht="19.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customFormat="false" ht="19.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customFormat="false" ht="19.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customFormat="false" ht="9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customFormat="false" ht="21.75" hidden="false" customHeight="true" outlineLevel="0" collapsed="false">
      <c r="A26" s="16" t="s">
        <v>10</v>
      </c>
      <c r="B26" s="16"/>
      <c r="C26" s="16"/>
      <c r="D26" s="16"/>
      <c r="E26" s="16"/>
      <c r="F26" s="16"/>
      <c r="G26" s="16"/>
      <c r="H26" s="16" t="s">
        <v>11</v>
      </c>
      <c r="I26" s="16"/>
      <c r="J26" s="16"/>
      <c r="K26" s="16"/>
      <c r="L26" s="16"/>
      <c r="M26" s="16"/>
      <c r="N26" s="16"/>
    </row>
    <row r="27" customFormat="false" ht="15.75" hidden="false" customHeight="true" outlineLevel="0" collapsed="false">
      <c r="A27" s="17" t="s">
        <v>12</v>
      </c>
      <c r="B27" s="17"/>
      <c r="C27" s="18" t="s">
        <v>13</v>
      </c>
      <c r="D27" s="18"/>
      <c r="E27" s="18" t="s">
        <v>14</v>
      </c>
      <c r="F27" s="18"/>
      <c r="G27" s="18"/>
      <c r="H27" s="19" t="s">
        <v>15</v>
      </c>
      <c r="I27" s="17" t="s">
        <v>12</v>
      </c>
      <c r="J27" s="17"/>
      <c r="K27" s="17"/>
      <c r="L27" s="19" t="s">
        <v>16</v>
      </c>
      <c r="M27" s="20" t="s">
        <v>17</v>
      </c>
      <c r="N27" s="20"/>
    </row>
    <row r="28" customFormat="false" ht="15" hidden="false" customHeight="true" outlineLevel="0" collapsed="false">
      <c r="A28" s="21" t="str">
        <f aca="false">Supporto!A21</f>
        <v>Alimentari</v>
      </c>
      <c r="B28" s="21"/>
      <c r="C28" s="22" t="str">
        <f aca="false">"€"&amp;TEXT(Supporto!B21,"#,##0")&amp;" / €"&amp;TEXT(Supporto!C21,"#,##0")</f>
        <v>€583 / €550</v>
      </c>
      <c r="D28" s="22"/>
      <c r="E28" s="23" t="n">
        <f aca="false">Supporto!D21</f>
        <v>1.05969090909091</v>
      </c>
      <c r="F28" s="23"/>
      <c r="G28" s="23"/>
      <c r="H28" s="24" t="n">
        <f aca="false">Supporto!B40</f>
        <v>46261.5340277778</v>
      </c>
      <c r="I28" s="25" t="str">
        <f aca="false">Supporto!C40</f>
        <v>Salute</v>
      </c>
      <c r="J28" s="25"/>
      <c r="K28" s="25"/>
      <c r="L28" s="26" t="str">
        <f aca="false">IF(Supporto!D40="Entrata","▲","▼")</f>
        <v>▼</v>
      </c>
      <c r="M28" s="27" t="n">
        <f aca="false">Supporto!F40</f>
        <v>-53.54</v>
      </c>
      <c r="N28" s="27"/>
    </row>
    <row r="29" customFormat="false" ht="15" hidden="false" customHeight="true" outlineLevel="0" collapsed="false">
      <c r="A29" s="28" t="str">
        <f aca="false">Supporto!A22</f>
        <v>Casa e Bollette</v>
      </c>
      <c r="B29" s="28"/>
      <c r="C29" s="29" t="str">
        <f aca="false">"€"&amp;TEXT(Supporto!B22,"#,##0")&amp;" / €"&amp;TEXT(Supporto!C22,"#,##0")</f>
        <v>€880 / €900</v>
      </c>
      <c r="D29" s="29"/>
      <c r="E29" s="30" t="n">
        <f aca="false">Supporto!D22</f>
        <v>0.977677777777778</v>
      </c>
      <c r="F29" s="30"/>
      <c r="G29" s="30"/>
      <c r="H29" s="31" t="n">
        <f aca="false">Supporto!B41</f>
        <v>46261.4395833333</v>
      </c>
      <c r="I29" s="32" t="str">
        <f aca="false">Supporto!C41</f>
        <v>Istruzione</v>
      </c>
      <c r="J29" s="32"/>
      <c r="K29" s="32"/>
      <c r="L29" s="33" t="str">
        <f aca="false">IF(Supporto!D41="Entrata","▲","▼")</f>
        <v>▼</v>
      </c>
      <c r="M29" s="34" t="n">
        <f aca="false">Supporto!F41</f>
        <v>-83.75</v>
      </c>
      <c r="N29" s="34"/>
    </row>
    <row r="30" customFormat="false" ht="15" hidden="false" customHeight="true" outlineLevel="0" collapsed="false">
      <c r="A30" s="21" t="str">
        <f aca="false">Supporto!A23</f>
        <v>Trasporti</v>
      </c>
      <c r="B30" s="21"/>
      <c r="C30" s="22" t="str">
        <f aca="false">"€"&amp;TEXT(Supporto!B23,"#,##0")&amp;" / €"&amp;TEXT(Supporto!C23,"#,##0")</f>
        <v>€141 / €140</v>
      </c>
      <c r="D30" s="22"/>
      <c r="E30" s="23" t="n">
        <f aca="false">Supporto!D23</f>
        <v>1.00392857142857</v>
      </c>
      <c r="F30" s="23"/>
      <c r="G30" s="23"/>
      <c r="H30" s="24" t="n">
        <f aca="false">Supporto!B42</f>
        <v>46261.3784722222</v>
      </c>
      <c r="I30" s="25" t="str">
        <f aca="false">Supporto!C42</f>
        <v>Stipendio Partner</v>
      </c>
      <c r="J30" s="25"/>
      <c r="K30" s="25"/>
      <c r="L30" s="26" t="str">
        <f aca="false">IF(Supporto!D42="Entrata","▲","▼")</f>
        <v>▲</v>
      </c>
      <c r="M30" s="27" t="n">
        <f aca="false">Supporto!F42</f>
        <v>1999.98</v>
      </c>
      <c r="N30" s="27"/>
    </row>
    <row r="31" customFormat="false" ht="15" hidden="false" customHeight="true" outlineLevel="0" collapsed="false">
      <c r="A31" s="28" t="str">
        <f aca="false">Supporto!A24</f>
        <v>Ristoranti e Bar</v>
      </c>
      <c r="B31" s="28"/>
      <c r="C31" s="29" t="str">
        <f aca="false">"€"&amp;TEXT(Supporto!B24,"#,##0")&amp;" / €"&amp;TEXT(Supporto!C24,"#,##0")</f>
        <v>€130 / €160</v>
      </c>
      <c r="D31" s="29"/>
      <c r="E31" s="30" t="n">
        <f aca="false">Supporto!D24</f>
        <v>0.8150625</v>
      </c>
      <c r="F31" s="30"/>
      <c r="G31" s="30"/>
      <c r="H31" s="31" t="n">
        <f aca="false">Supporto!B43</f>
        <v>46261.375</v>
      </c>
      <c r="I31" s="32" t="str">
        <f aca="false">Supporto!C43</f>
        <v>Stipendio</v>
      </c>
      <c r="J31" s="32"/>
      <c r="K31" s="32"/>
      <c r="L31" s="33" t="str">
        <f aca="false">IF(Supporto!D43="Entrata","▲","▼")</f>
        <v>▲</v>
      </c>
      <c r="M31" s="34" t="n">
        <f aca="false">Supporto!F43</f>
        <v>2352.62</v>
      </c>
      <c r="N31" s="34"/>
    </row>
    <row r="32" customFormat="false" ht="15" hidden="false" customHeight="true" outlineLevel="0" collapsed="false">
      <c r="A32" s="21" t="str">
        <f aca="false">Supporto!A25</f>
        <v>Svago</v>
      </c>
      <c r="B32" s="21"/>
      <c r="C32" s="22" t="str">
        <f aca="false">"€"&amp;TEXT(Supporto!B25,"#,##0")&amp;" / €"&amp;TEXT(Supporto!C25,"#,##0")</f>
        <v>€78 / €100</v>
      </c>
      <c r="D32" s="22"/>
      <c r="E32" s="23" t="n">
        <f aca="false">Supporto!D25</f>
        <v>0.7779</v>
      </c>
      <c r="F32" s="23"/>
      <c r="G32" s="23"/>
      <c r="H32" s="24" t="n">
        <f aca="false">Supporto!B44</f>
        <v>46260.9173611111</v>
      </c>
      <c r="I32" s="25" t="str">
        <f aca="false">Supporto!C44</f>
        <v>Ristoranti e Bar</v>
      </c>
      <c r="J32" s="25"/>
      <c r="K32" s="25"/>
      <c r="L32" s="26" t="str">
        <f aca="false">IF(Supporto!D44="Entrata","▲","▼")</f>
        <v>▼</v>
      </c>
      <c r="M32" s="27" t="n">
        <f aca="false">Supporto!F44</f>
        <v>-57.89</v>
      </c>
      <c r="N32" s="27"/>
    </row>
    <row r="33" customFormat="false" ht="15" hidden="false" customHeight="true" outlineLevel="0" collapsed="false">
      <c r="A33" s="28" t="str">
        <f aca="false">Supporto!A26</f>
        <v>Salute</v>
      </c>
      <c r="B33" s="28"/>
      <c r="C33" s="29" t="str">
        <f aca="false">"€"&amp;TEXT(Supporto!B26,"#,##0")&amp;" / €"&amp;TEXT(Supporto!C26,"#,##0")</f>
        <v>€137 / €90</v>
      </c>
      <c r="D33" s="29"/>
      <c r="E33" s="30" t="n">
        <f aca="false">Supporto!D26</f>
        <v>1.51877777777778</v>
      </c>
      <c r="F33" s="30"/>
      <c r="G33" s="30"/>
      <c r="H33" s="31" t="n">
        <f aca="false">Supporto!B45</f>
        <v>46260.7375</v>
      </c>
      <c r="I33" s="32" t="str">
        <f aca="false">Supporto!C45</f>
        <v>Trasporti</v>
      </c>
      <c r="J33" s="32"/>
      <c r="K33" s="32"/>
      <c r="L33" s="33" t="str">
        <f aca="false">IF(Supporto!D45="Entrata","▲","▼")</f>
        <v>▼</v>
      </c>
      <c r="M33" s="34" t="n">
        <f aca="false">Supporto!F45</f>
        <v>-31.63</v>
      </c>
      <c r="N33" s="34"/>
    </row>
    <row r="34" customFormat="false" ht="15" hidden="false" customHeight="true" outlineLevel="0" collapsed="false">
      <c r="A34" s="21" t="str">
        <f aca="false">Supporto!A27</f>
        <v>Istruzione</v>
      </c>
      <c r="B34" s="21"/>
      <c r="C34" s="22" t="str">
        <f aca="false">"€"&amp;TEXT(Supporto!B27,"#,##0")&amp;" / €"&amp;TEXT(Supporto!C27,"#,##0")</f>
        <v>€84 / €60</v>
      </c>
      <c r="D34" s="22"/>
      <c r="E34" s="23" t="n">
        <f aca="false">Supporto!D27</f>
        <v>1.39583333333333</v>
      </c>
      <c r="F34" s="23"/>
      <c r="G34" s="23"/>
      <c r="H34" s="24" t="n">
        <f aca="false">Supporto!B46</f>
        <v>46257.925</v>
      </c>
      <c r="I34" s="25" t="str">
        <f aca="false">Supporto!C46</f>
        <v>Trasporti</v>
      </c>
      <c r="J34" s="25"/>
      <c r="K34" s="25"/>
      <c r="L34" s="26" t="str">
        <f aca="false">IF(Supporto!D46="Entrata","▲","▼")</f>
        <v>▼</v>
      </c>
      <c r="M34" s="27" t="n">
        <f aca="false">Supporto!F46</f>
        <v>-30.16</v>
      </c>
      <c r="N34" s="27"/>
    </row>
    <row r="35" customFormat="false" ht="15" hidden="false" customHeight="true" outlineLevel="0" collapsed="false">
      <c r="A35" s="28" t="str">
        <f aca="false">Supporto!A28</f>
        <v>Abbigliamento</v>
      </c>
      <c r="B35" s="28"/>
      <c r="C35" s="29" t="str">
        <f aca="false">"€"&amp;TEXT(Supporto!B28,"#,##0")&amp;" / €"&amp;TEXT(Supporto!C28,"#,##0")</f>
        <v>€41 / €90</v>
      </c>
      <c r="D35" s="29"/>
      <c r="E35" s="30" t="n">
        <f aca="false">Supporto!D28</f>
        <v>0.460222222222222</v>
      </c>
      <c r="F35" s="30"/>
      <c r="G35" s="30"/>
      <c r="H35" s="31" t="n">
        <f aca="false">Supporto!B47</f>
        <v>46257.8784722222</v>
      </c>
      <c r="I35" s="32" t="str">
        <f aca="false">Supporto!C47</f>
        <v>Trasporti</v>
      </c>
      <c r="J35" s="32"/>
      <c r="K35" s="32"/>
      <c r="L35" s="33" t="str">
        <f aca="false">IF(Supporto!D47="Entrata","▲","▼")</f>
        <v>▼</v>
      </c>
      <c r="M35" s="34" t="n">
        <f aca="false">Supporto!F47</f>
        <v>-9.97</v>
      </c>
      <c r="N35" s="34"/>
    </row>
    <row r="36" customFormat="false" ht="15" hidden="false" customHeight="true" outlineLevel="0" collapsed="false">
      <c r="A36" s="21" t="str">
        <f aca="false">Supporto!A29</f>
        <v>Assicurazioni</v>
      </c>
      <c r="B36" s="21"/>
      <c r="C36" s="22" t="str">
        <f aca="false">"€"&amp;TEXT(Supporto!B29,"#,##0")&amp;" / €"&amp;TEXT(Supporto!C29,"#,##0")</f>
        <v>€98 / €100</v>
      </c>
      <c r="D36" s="22"/>
      <c r="E36" s="23" t="n">
        <f aca="false">Supporto!D29</f>
        <v>0.9837</v>
      </c>
      <c r="F36" s="23"/>
      <c r="G36" s="23"/>
      <c r="H36" s="24" t="n">
        <f aca="false">Supporto!B48</f>
        <v>46255.69375</v>
      </c>
      <c r="I36" s="25" t="str">
        <f aca="false">Supporto!C48</f>
        <v>Altre Spese</v>
      </c>
      <c r="J36" s="25"/>
      <c r="K36" s="25"/>
      <c r="L36" s="26" t="str">
        <f aca="false">IF(Supporto!D48="Entrata","▲","▼")</f>
        <v>▼</v>
      </c>
      <c r="M36" s="27" t="n">
        <f aca="false">Supporto!F48</f>
        <v>-13.54</v>
      </c>
      <c r="N36" s="27"/>
    </row>
    <row r="37" customFormat="false" ht="15" hidden="false" customHeight="true" outlineLevel="0" collapsed="false">
      <c r="A37" s="28" t="str">
        <f aca="false">Supporto!A30</f>
        <v>Altre Spese</v>
      </c>
      <c r="B37" s="28"/>
      <c r="C37" s="29" t="str">
        <f aca="false">"€"&amp;TEXT(Supporto!B30,"#,##0")&amp;" / €"&amp;TEXT(Supporto!C30,"#,##0")</f>
        <v>€37 / €90</v>
      </c>
      <c r="D37" s="29"/>
      <c r="E37" s="30" t="n">
        <f aca="false">Supporto!D30</f>
        <v>0.412222222222222</v>
      </c>
      <c r="F37" s="30"/>
      <c r="G37" s="30"/>
      <c r="H37" s="31" t="n">
        <f aca="false">Supporto!B49</f>
        <v>46253.3805555556</v>
      </c>
      <c r="I37" s="32" t="str">
        <f aca="false">Supporto!C49</f>
        <v>Svago</v>
      </c>
      <c r="J37" s="32"/>
      <c r="K37" s="32"/>
      <c r="L37" s="33" t="str">
        <f aca="false">IF(Supporto!D49="Entrata","▲","▼")</f>
        <v>▼</v>
      </c>
      <c r="M37" s="34" t="n">
        <f aca="false">Supporto!F49</f>
        <v>-3</v>
      </c>
      <c r="N37" s="34"/>
    </row>
    <row r="38" customFormat="false" ht="7.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customFormat="false" ht="15" hidden="false" customHeight="true" outlineLevel="0" collapsed="false">
      <c r="A39" s="35" t="str">
        <f aca="false">IF(Supporto!$J$35&gt;1,"⚠ Attenzione: hai superato il budget di "&amp;Supporto!$J$34&amp;" di €"&amp;TEXT(Supporto!$J$37,"#,##0")&amp;" — "&amp;Supporto!$J$36&amp;" categorie fuori budget questo mese.","✓ Tutte le categorie di spesa sono in linea con il budget questo mese.")</f>
        <v>⚠ Attenzione: hai superato il budget di Salute di €47 — 4 categorie fuori budget questo mese.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</row>
    <row r="40" customFormat="false" ht="15" hidden="false" customHeight="true" outlineLevel="0" collapsed="false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</row>
    <row r="41" customFormat="false" ht="15" hidden="false" customHeight="true" outlineLevel="0" collapsed="false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</row>
    <row r="42" customFormat="false" ht="7.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customFormat="false" ht="15.75" hidden="false" customHeight="true" outlineLevel="0" collapsed="false">
      <c r="A43" s="36" t="str">
        <f aca="false">"Fonte dati: foglio Transazioni ("&amp;COUNTA(Transazioni!$A$2:$A$494)&amp;" transazioni caricate da CSV)"</f>
        <v>Fonte dati: foglio Transazioni (493 transazioni caricate da CSV)</v>
      </c>
      <c r="B43" s="36"/>
      <c r="C43" s="36"/>
      <c r="D43" s="36"/>
      <c r="E43" s="36"/>
      <c r="F43" s="36"/>
      <c r="G43" s="36"/>
      <c r="H43" s="37" t="s">
        <v>18</v>
      </c>
      <c r="I43" s="37"/>
      <c r="J43" s="37"/>
      <c r="K43" s="37"/>
      <c r="L43" s="37"/>
      <c r="M43" s="37"/>
      <c r="N43" s="37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</sheetData>
  <mergeCells count="86">
    <mergeCell ref="A1:H1"/>
    <mergeCell ref="I1:N1"/>
    <mergeCell ref="A3:F3"/>
    <mergeCell ref="H3:I3"/>
    <mergeCell ref="A4:F4"/>
    <mergeCell ref="G4:I4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9:B9"/>
    <mergeCell ref="C9:D9"/>
    <mergeCell ref="E9:F9"/>
    <mergeCell ref="G9:H9"/>
    <mergeCell ref="I9:J9"/>
    <mergeCell ref="K9:L9"/>
    <mergeCell ref="A11:G11"/>
    <mergeCell ref="H11:N11"/>
    <mergeCell ref="A26:G26"/>
    <mergeCell ref="H26:N26"/>
    <mergeCell ref="A27:B27"/>
    <mergeCell ref="C27:D27"/>
    <mergeCell ref="E27:G27"/>
    <mergeCell ref="I27:K27"/>
    <mergeCell ref="M27:N27"/>
    <mergeCell ref="A28:B28"/>
    <mergeCell ref="C28:D28"/>
    <mergeCell ref="E28:G28"/>
    <mergeCell ref="I28:K28"/>
    <mergeCell ref="M28:N28"/>
    <mergeCell ref="A29:B29"/>
    <mergeCell ref="C29:D29"/>
    <mergeCell ref="E29:G29"/>
    <mergeCell ref="I29:K29"/>
    <mergeCell ref="M29:N29"/>
    <mergeCell ref="A30:B30"/>
    <mergeCell ref="C30:D30"/>
    <mergeCell ref="E30:G30"/>
    <mergeCell ref="I30:K30"/>
    <mergeCell ref="M30:N30"/>
    <mergeCell ref="A31:B31"/>
    <mergeCell ref="C31:D31"/>
    <mergeCell ref="E31:G31"/>
    <mergeCell ref="I31:K31"/>
    <mergeCell ref="M31:N31"/>
    <mergeCell ref="A32:B32"/>
    <mergeCell ref="C32:D32"/>
    <mergeCell ref="E32:G32"/>
    <mergeCell ref="I32:K32"/>
    <mergeCell ref="M32:N32"/>
    <mergeCell ref="A33:B33"/>
    <mergeCell ref="C33:D33"/>
    <mergeCell ref="E33:G33"/>
    <mergeCell ref="I33:K33"/>
    <mergeCell ref="M33:N33"/>
    <mergeCell ref="A34:B34"/>
    <mergeCell ref="C34:D34"/>
    <mergeCell ref="E34:G34"/>
    <mergeCell ref="I34:K34"/>
    <mergeCell ref="M34:N34"/>
    <mergeCell ref="A35:B35"/>
    <mergeCell ref="C35:D35"/>
    <mergeCell ref="E35:G35"/>
    <mergeCell ref="I35:K35"/>
    <mergeCell ref="M35:N35"/>
    <mergeCell ref="A36:B36"/>
    <mergeCell ref="C36:D36"/>
    <mergeCell ref="E36:G36"/>
    <mergeCell ref="I36:K36"/>
    <mergeCell ref="M36:N36"/>
    <mergeCell ref="A37:B37"/>
    <mergeCell ref="C37:D37"/>
    <mergeCell ref="E37:G37"/>
    <mergeCell ref="I37:K37"/>
    <mergeCell ref="M37:N37"/>
    <mergeCell ref="A39:N41"/>
    <mergeCell ref="A43:G43"/>
    <mergeCell ref="H43:N43"/>
  </mergeCells>
  <conditionalFormatting sqref="H8">
    <cfRule type="cellIs" priority="2" operator="greaterThanOrEqual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J8">
    <cfRule type="expression" priority="4" aboveAverage="0" equalAverage="0" bottom="0" percent="0" rank="0" text="" dxfId="0">
      <formula>J8&gt;=Budget!$B$16</formula>
    </cfRule>
    <cfRule type="expression" priority="5" aboveAverage="0" equalAverage="0" bottom="0" percent="0" rank="0" text="" dxfId="2">
      <formula>J8&lt;Budget!$B$16</formula>
    </cfRule>
  </conditionalFormatting>
  <conditionalFormatting sqref="E28:E37">
    <cfRule type="dataBar" priority="6">
      <dataBar showValue="1" minLength="10" maxLength="90">
        <cfvo type="num" val="0"/>
        <cfvo type="num" val="1.4"/>
        <color rgb="FF2ECC71"/>
      </dataBar>
      <extLst>
        <ext xmlns:x14="http://schemas.microsoft.com/office/spreadsheetml/2009/9/main" uri="{B025F937-C7B1-47D3-B67F-A62EFF666E3E}">
          <x14:id>{B233AA48-F7A7-4D2C-82F8-A64C99EEA8E3}</x14:id>
        </ext>
      </extLst>
    </cfRule>
    <cfRule type="cellIs" priority="7" operator="greaterThan" aboveAverage="0" equalAverage="0" bottom="0" percent="0" rank="0" text="" dxfId="3">
      <formula>1</formula>
    </cfRule>
  </conditionalFormatting>
  <conditionalFormatting sqref="C28:C37">
    <cfRule type="expression" priority="8" aboveAverage="0" equalAverage="0" bottom="0" percent="0" rank="0" text="" dxfId="4">
      <formula>$E28&gt;1</formula>
    </cfRule>
  </conditionalFormatting>
  <conditionalFormatting sqref="L28:L37">
    <cfRule type="expression" priority="9" aboveAverage="0" equalAverage="0" bottom="0" percent="0" rank="0" text="" dxfId="5">
      <formula>L28="▲"</formula>
    </cfRule>
    <cfRule type="expression" priority="10" aboveAverage="0" equalAverage="0" bottom="0" percent="0" rank="0" text="" dxfId="3">
      <formula>L28="▼"</formula>
    </cfRule>
  </conditionalFormatting>
  <conditionalFormatting sqref="A39">
    <cfRule type="expression" priority="11" aboveAverage="0" equalAverage="0" bottom="0" percent="0" rank="0" text="" dxfId="6">
      <formula>Supporto!$J$35&gt;1</formula>
    </cfRule>
    <cfRule type="expression" priority="12" aboveAverage="0" equalAverage="0" bottom="0" percent="0" rank="0" text="" dxfId="7">
      <formula>Supporto!$J$35&lt;=1</formula>
    </cfRule>
  </conditionalFormatting>
  <dataValidations count="1">
    <dataValidation allowBlank="false" errorStyle="stop" operator="between" showDropDown="false" showErrorMessage="false" showInputMessage="false" sqref="H3" type="list">
      <formula1>Supporto!$B$2:$B$15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33AA48-F7A7-4D2C-82F8-A64C99EEA8E3}">
            <x14:dataBar minLength="10" maxLength="90" axisPosition="none" gradient="true">
              <x14:cfvo type="num">
                <xm:f>0</xm:f>
              </x14:cfvo>
              <x14:cfvo type="num">
                <xm:f>1.4</xm:f>
              </x14:cfvo>
              <x14:negativeFillColor rgb="FF2ECC71"/>
              <x14:axisColor rgb="FF000000"/>
            </x14:dataBar>
          </x14:cfRule>
          <xm:sqref>E28:E37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151"/>
    <pageSetUpPr fitToPage="false"/>
  </sheetPr>
  <dimension ref="A1:J4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6" min="5" style="0" width="8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10"/>
  </cols>
  <sheetData>
    <row r="1" customFormat="false" ht="19.5" hidden="false" customHeight="true" outlineLevel="0" collapsed="false">
      <c r="A1" s="38" t="s">
        <v>19</v>
      </c>
      <c r="B1" s="38" t="s">
        <v>12</v>
      </c>
      <c r="C1" s="38" t="s">
        <v>16</v>
      </c>
      <c r="D1" s="38" t="s">
        <v>17</v>
      </c>
      <c r="E1" s="38" t="s">
        <v>20</v>
      </c>
      <c r="F1" s="38" t="s">
        <v>21</v>
      </c>
      <c r="G1" s="38" t="s">
        <v>22</v>
      </c>
      <c r="H1" s="38" t="s">
        <v>23</v>
      </c>
      <c r="I1" s="38" t="s">
        <v>24</v>
      </c>
      <c r="J1" s="38" t="s">
        <v>25</v>
      </c>
    </row>
    <row r="2" customFormat="false" ht="15" hidden="false" customHeight="false" outlineLevel="0" collapsed="false">
      <c r="A2" s="39" t="n">
        <v>45841.5819444444</v>
      </c>
      <c r="B2" s="40" t="s">
        <v>26</v>
      </c>
      <c r="C2" s="41" t="s">
        <v>27</v>
      </c>
      <c r="D2" s="42" t="n">
        <v>13.58</v>
      </c>
      <c r="E2" s="43" t="n">
        <f aca="false">YEAR(A2)</f>
        <v>2025</v>
      </c>
      <c r="F2" s="43" t="n">
        <f aca="false">MONTH(A2)</f>
        <v>7</v>
      </c>
      <c r="G2" s="43" t="n">
        <f aca="false">E2*100+F2</f>
        <v>202507</v>
      </c>
      <c r="H2" s="43" t="str">
        <f aca="false">CHOOSE(F2,"Gen","Feb","Mar","Apr","Mag","Giu","Lug","Ago","Set","Ott","Nov","Dic")&amp;" "&amp;E2</f>
        <v>Lug 2025</v>
      </c>
      <c r="I2" s="43" t="n">
        <f aca="false">SUMPRODUCT(($A$2:$A$494&gt;A2)*1)+1</f>
        <v>493</v>
      </c>
      <c r="J2" s="43" t="str">
        <f aca="false">IF(G2=Supporto!$J$4,SUMPRODUCT(($G$2:$G$494=Supporto!$J$4)*($A$2:$A$494&gt;A2))+1,"")</f>
        <v/>
      </c>
    </row>
    <row r="3" customFormat="false" ht="15" hidden="false" customHeight="false" outlineLevel="0" collapsed="false">
      <c r="A3" s="39" t="n">
        <v>45842.7951388889</v>
      </c>
      <c r="B3" s="40" t="s">
        <v>28</v>
      </c>
      <c r="C3" s="41" t="s">
        <v>27</v>
      </c>
      <c r="D3" s="42" t="n">
        <v>39.95</v>
      </c>
      <c r="E3" s="43" t="n">
        <f aca="false">YEAR(A3)</f>
        <v>2025</v>
      </c>
      <c r="F3" s="43" t="n">
        <f aca="false">MONTH(A3)</f>
        <v>7</v>
      </c>
      <c r="G3" s="43" t="n">
        <f aca="false">E3*100+F3</f>
        <v>202507</v>
      </c>
      <c r="H3" s="43" t="str">
        <f aca="false">CHOOSE(F3,"Gen","Feb","Mar","Apr","Mag","Giu","Lug","Ago","Set","Ott","Nov","Dic")&amp;" "&amp;E3</f>
        <v>Lug 2025</v>
      </c>
      <c r="I3" s="43" t="n">
        <f aca="false">SUMPRODUCT(($A$2:$A$494&gt;A3)*1)+1</f>
        <v>492</v>
      </c>
      <c r="J3" s="43" t="str">
        <f aca="false">IF(G3=Supporto!$J$4,SUMPRODUCT(($G$2:$G$494=Supporto!$J$4)*($A$2:$A$494&gt;A3))+1,"")</f>
        <v/>
      </c>
    </row>
    <row r="4" customFormat="false" ht="15" hidden="false" customHeight="false" outlineLevel="0" collapsed="false">
      <c r="A4" s="39" t="n">
        <v>45843.575</v>
      </c>
      <c r="B4" s="40" t="s">
        <v>29</v>
      </c>
      <c r="C4" s="41" t="s">
        <v>27</v>
      </c>
      <c r="D4" s="42" t="n">
        <v>46.16</v>
      </c>
      <c r="E4" s="43" t="n">
        <f aca="false">YEAR(A4)</f>
        <v>2025</v>
      </c>
      <c r="F4" s="43" t="n">
        <f aca="false">MONTH(A4)</f>
        <v>7</v>
      </c>
      <c r="G4" s="43" t="n">
        <f aca="false">E4*100+F4</f>
        <v>202507</v>
      </c>
      <c r="H4" s="43" t="str">
        <f aca="false">CHOOSE(F4,"Gen","Feb","Mar","Apr","Mag","Giu","Lug","Ago","Set","Ott","Nov","Dic")&amp;" "&amp;E4</f>
        <v>Lug 2025</v>
      </c>
      <c r="I4" s="43" t="n">
        <f aca="false">SUMPRODUCT(($A$2:$A$494&gt;A4)*1)+1</f>
        <v>491</v>
      </c>
      <c r="J4" s="43" t="str">
        <f aca="false">IF(G4=Supporto!$J$4,SUMPRODUCT(($G$2:$G$494=Supporto!$J$4)*($A$2:$A$494&gt;A4))+1,"")</f>
        <v/>
      </c>
    </row>
    <row r="5" customFormat="false" ht="15" hidden="false" customHeight="false" outlineLevel="0" collapsed="false">
      <c r="A5" s="39" t="n">
        <v>45843.9201388889</v>
      </c>
      <c r="B5" s="40" t="s">
        <v>30</v>
      </c>
      <c r="C5" s="41" t="s">
        <v>27</v>
      </c>
      <c r="D5" s="42" t="n">
        <v>19.74</v>
      </c>
      <c r="E5" s="43" t="n">
        <f aca="false">YEAR(A5)</f>
        <v>2025</v>
      </c>
      <c r="F5" s="43" t="n">
        <f aca="false">MONTH(A5)</f>
        <v>7</v>
      </c>
      <c r="G5" s="43" t="n">
        <f aca="false">E5*100+F5</f>
        <v>202507</v>
      </c>
      <c r="H5" s="43" t="str">
        <f aca="false">CHOOSE(F5,"Gen","Feb","Mar","Apr","Mag","Giu","Lug","Ago","Set","Ott","Nov","Dic")&amp;" "&amp;E5</f>
        <v>Lug 2025</v>
      </c>
      <c r="I5" s="43" t="n">
        <f aca="false">SUMPRODUCT(($A$2:$A$494&gt;A5)*1)+1</f>
        <v>490</v>
      </c>
      <c r="J5" s="43" t="str">
        <f aca="false">IF(G5=Supporto!$J$4,SUMPRODUCT(($G$2:$G$494=Supporto!$J$4)*($A$2:$A$494&gt;A5))+1,"")</f>
        <v/>
      </c>
    </row>
    <row r="6" customFormat="false" ht="15" hidden="false" customHeight="false" outlineLevel="0" collapsed="false">
      <c r="A6" s="39" t="n">
        <v>45845.3763888889</v>
      </c>
      <c r="B6" s="40" t="s">
        <v>28</v>
      </c>
      <c r="C6" s="41" t="s">
        <v>27</v>
      </c>
      <c r="D6" s="42" t="n">
        <v>497.06</v>
      </c>
      <c r="E6" s="43" t="n">
        <f aca="false">YEAR(A6)</f>
        <v>2025</v>
      </c>
      <c r="F6" s="43" t="n">
        <f aca="false">MONTH(A6)</f>
        <v>7</v>
      </c>
      <c r="G6" s="43" t="n">
        <f aca="false">E6*100+F6</f>
        <v>202507</v>
      </c>
      <c r="H6" s="43" t="str">
        <f aca="false">CHOOSE(F6,"Gen","Feb","Mar","Apr","Mag","Giu","Lug","Ago","Set","Ott","Nov","Dic")&amp;" "&amp;E6</f>
        <v>Lug 2025</v>
      </c>
      <c r="I6" s="43" t="n">
        <f aca="false">SUMPRODUCT(($A$2:$A$494&gt;A6)*1)+1</f>
        <v>489</v>
      </c>
      <c r="J6" s="43" t="str">
        <f aca="false">IF(G6=Supporto!$J$4,SUMPRODUCT(($G$2:$G$494=Supporto!$J$4)*($A$2:$A$494&gt;A6))+1,"")</f>
        <v/>
      </c>
    </row>
    <row r="7" customFormat="false" ht="15" hidden="false" customHeight="false" outlineLevel="0" collapsed="false">
      <c r="A7" s="39" t="n">
        <v>45846.7451388889</v>
      </c>
      <c r="B7" s="40" t="s">
        <v>26</v>
      </c>
      <c r="C7" s="41" t="s">
        <v>27</v>
      </c>
      <c r="D7" s="42" t="n">
        <v>49.15</v>
      </c>
      <c r="E7" s="43" t="n">
        <f aca="false">YEAR(A7)</f>
        <v>2025</v>
      </c>
      <c r="F7" s="43" t="n">
        <f aca="false">MONTH(A7)</f>
        <v>7</v>
      </c>
      <c r="G7" s="43" t="n">
        <f aca="false">E7*100+F7</f>
        <v>202507</v>
      </c>
      <c r="H7" s="43" t="str">
        <f aca="false">CHOOSE(F7,"Gen","Feb","Mar","Apr","Mag","Giu","Lug","Ago","Set","Ott","Nov","Dic")&amp;" "&amp;E7</f>
        <v>Lug 2025</v>
      </c>
      <c r="I7" s="43" t="n">
        <f aca="false">SUMPRODUCT(($A$2:$A$494&gt;A7)*1)+1</f>
        <v>488</v>
      </c>
      <c r="J7" s="43" t="str">
        <f aca="false">IF(G7=Supporto!$J$4,SUMPRODUCT(($G$2:$G$494=Supporto!$J$4)*($A$2:$A$494&gt;A7))+1,"")</f>
        <v/>
      </c>
    </row>
    <row r="8" customFormat="false" ht="15" hidden="false" customHeight="false" outlineLevel="0" collapsed="false">
      <c r="A8" s="39" t="n">
        <v>45846.7708333333</v>
      </c>
      <c r="B8" s="40" t="s">
        <v>31</v>
      </c>
      <c r="C8" s="41" t="s">
        <v>32</v>
      </c>
      <c r="D8" s="42" t="n">
        <v>48.14</v>
      </c>
      <c r="E8" s="43" t="n">
        <f aca="false">YEAR(A8)</f>
        <v>2025</v>
      </c>
      <c r="F8" s="43" t="n">
        <f aca="false">MONTH(A8)</f>
        <v>7</v>
      </c>
      <c r="G8" s="43" t="n">
        <f aca="false">E8*100+F8</f>
        <v>202507</v>
      </c>
      <c r="H8" s="43" t="str">
        <f aca="false">CHOOSE(F8,"Gen","Feb","Mar","Apr","Mag","Giu","Lug","Ago","Set","Ott","Nov","Dic")&amp;" "&amp;E8</f>
        <v>Lug 2025</v>
      </c>
      <c r="I8" s="43" t="n">
        <f aca="false">SUMPRODUCT(($A$2:$A$494&gt;A8)*1)+1</f>
        <v>487</v>
      </c>
      <c r="J8" s="43" t="str">
        <f aca="false">IF(G8=Supporto!$J$4,SUMPRODUCT(($G$2:$G$494=Supporto!$J$4)*($A$2:$A$494&gt;A8))+1,"")</f>
        <v/>
      </c>
    </row>
    <row r="9" customFormat="false" ht="15" hidden="false" customHeight="false" outlineLevel="0" collapsed="false">
      <c r="A9" s="39" t="n">
        <v>45847.46875</v>
      </c>
      <c r="B9" s="40" t="s">
        <v>33</v>
      </c>
      <c r="C9" s="41" t="s">
        <v>27</v>
      </c>
      <c r="D9" s="42" t="n">
        <v>38.49</v>
      </c>
      <c r="E9" s="43" t="n">
        <f aca="false">YEAR(A9)</f>
        <v>2025</v>
      </c>
      <c r="F9" s="43" t="n">
        <f aca="false">MONTH(A9)</f>
        <v>7</v>
      </c>
      <c r="G9" s="43" t="n">
        <f aca="false">E9*100+F9</f>
        <v>202507</v>
      </c>
      <c r="H9" s="43" t="str">
        <f aca="false">CHOOSE(F9,"Gen","Feb","Mar","Apr","Mag","Giu","Lug","Ago","Set","Ott","Nov","Dic")&amp;" "&amp;E9</f>
        <v>Lug 2025</v>
      </c>
      <c r="I9" s="43" t="n">
        <f aca="false">SUMPRODUCT(($A$2:$A$494&gt;A9)*1)+1</f>
        <v>486</v>
      </c>
      <c r="J9" s="43" t="str">
        <f aca="false">IF(G9=Supporto!$J$4,SUMPRODUCT(($G$2:$G$494=Supporto!$J$4)*($A$2:$A$494&gt;A9))+1,"")</f>
        <v/>
      </c>
    </row>
    <row r="10" customFormat="false" ht="15" hidden="false" customHeight="false" outlineLevel="0" collapsed="false">
      <c r="A10" s="39" t="n">
        <v>45849.4201388889</v>
      </c>
      <c r="B10" s="40" t="s">
        <v>29</v>
      </c>
      <c r="C10" s="41" t="s">
        <v>27</v>
      </c>
      <c r="D10" s="42" t="n">
        <v>6.83</v>
      </c>
      <c r="E10" s="43" t="n">
        <f aca="false">YEAR(A10)</f>
        <v>2025</v>
      </c>
      <c r="F10" s="43" t="n">
        <f aca="false">MONTH(A10)</f>
        <v>7</v>
      </c>
      <c r="G10" s="43" t="n">
        <f aca="false">E10*100+F10</f>
        <v>202507</v>
      </c>
      <c r="H10" s="43" t="str">
        <f aca="false">CHOOSE(F10,"Gen","Feb","Mar","Apr","Mag","Giu","Lug","Ago","Set","Ott","Nov","Dic")&amp;" "&amp;E10</f>
        <v>Lug 2025</v>
      </c>
      <c r="I10" s="43" t="n">
        <f aca="false">SUMPRODUCT(($A$2:$A$494&gt;A10)*1)+1</f>
        <v>485</v>
      </c>
      <c r="J10" s="43" t="str">
        <f aca="false">IF(G10=Supporto!$J$4,SUMPRODUCT(($G$2:$G$494=Supporto!$J$4)*($A$2:$A$494&gt;A10))+1,"")</f>
        <v/>
      </c>
    </row>
    <row r="11" customFormat="false" ht="15" hidden="false" customHeight="false" outlineLevel="0" collapsed="false">
      <c r="A11" s="39" t="n">
        <v>45849.8034722222</v>
      </c>
      <c r="B11" s="40" t="s">
        <v>26</v>
      </c>
      <c r="C11" s="41" t="s">
        <v>27</v>
      </c>
      <c r="D11" s="42" t="n">
        <v>43.19</v>
      </c>
      <c r="E11" s="43" t="n">
        <f aca="false">YEAR(A11)</f>
        <v>2025</v>
      </c>
      <c r="F11" s="43" t="n">
        <f aca="false">MONTH(A11)</f>
        <v>7</v>
      </c>
      <c r="G11" s="43" t="n">
        <f aca="false">E11*100+F11</f>
        <v>202507</v>
      </c>
      <c r="H11" s="43" t="str">
        <f aca="false">CHOOSE(F11,"Gen","Feb","Mar","Apr","Mag","Giu","Lug","Ago","Set","Ott","Nov","Dic")&amp;" "&amp;E11</f>
        <v>Lug 2025</v>
      </c>
      <c r="I11" s="43" t="n">
        <f aca="false">SUMPRODUCT(($A$2:$A$494&gt;A11)*1)+1</f>
        <v>484</v>
      </c>
      <c r="J11" s="43" t="str">
        <f aca="false">IF(G11=Supporto!$J$4,SUMPRODUCT(($G$2:$G$494=Supporto!$J$4)*($A$2:$A$494&gt;A11))+1,"")</f>
        <v/>
      </c>
    </row>
    <row r="12" customFormat="false" ht="15" hidden="false" customHeight="false" outlineLevel="0" collapsed="false">
      <c r="A12" s="39" t="n">
        <v>45850.7590277778</v>
      </c>
      <c r="B12" s="40" t="s">
        <v>34</v>
      </c>
      <c r="C12" s="41" t="s">
        <v>27</v>
      </c>
      <c r="D12" s="42" t="n">
        <v>71.05</v>
      </c>
      <c r="E12" s="43" t="n">
        <f aca="false">YEAR(A12)</f>
        <v>2025</v>
      </c>
      <c r="F12" s="43" t="n">
        <f aca="false">MONTH(A12)</f>
        <v>7</v>
      </c>
      <c r="G12" s="43" t="n">
        <f aca="false">E12*100+F12</f>
        <v>202507</v>
      </c>
      <c r="H12" s="43" t="str">
        <f aca="false">CHOOSE(F12,"Gen","Feb","Mar","Apr","Mag","Giu","Lug","Ago","Set","Ott","Nov","Dic")&amp;" "&amp;E12</f>
        <v>Lug 2025</v>
      </c>
      <c r="I12" s="43" t="n">
        <f aca="false">SUMPRODUCT(($A$2:$A$494&gt;A12)*1)+1</f>
        <v>483</v>
      </c>
      <c r="J12" s="43" t="str">
        <f aca="false">IF(G12=Supporto!$J$4,SUMPRODUCT(($G$2:$G$494=Supporto!$J$4)*($A$2:$A$494&gt;A12))+1,"")</f>
        <v/>
      </c>
    </row>
    <row r="13" customFormat="false" ht="15" hidden="false" customHeight="false" outlineLevel="0" collapsed="false">
      <c r="A13" s="39" t="n">
        <v>45851.4319444444</v>
      </c>
      <c r="B13" s="40" t="s">
        <v>29</v>
      </c>
      <c r="C13" s="41" t="s">
        <v>27</v>
      </c>
      <c r="D13" s="42" t="n">
        <v>131.99</v>
      </c>
      <c r="E13" s="43" t="n">
        <f aca="false">YEAR(A13)</f>
        <v>2025</v>
      </c>
      <c r="F13" s="43" t="n">
        <f aca="false">MONTH(A13)</f>
        <v>7</v>
      </c>
      <c r="G13" s="43" t="n">
        <f aca="false">E13*100+F13</f>
        <v>202507</v>
      </c>
      <c r="H13" s="43" t="str">
        <f aca="false">CHOOSE(F13,"Gen","Feb","Mar","Apr","Mag","Giu","Lug","Ago","Set","Ott","Nov","Dic")&amp;" "&amp;E13</f>
        <v>Lug 2025</v>
      </c>
      <c r="I13" s="43" t="n">
        <f aca="false">SUMPRODUCT(($A$2:$A$494&gt;A13)*1)+1</f>
        <v>482</v>
      </c>
      <c r="J13" s="43" t="str">
        <f aca="false">IF(G13=Supporto!$J$4,SUMPRODUCT(($G$2:$G$494=Supporto!$J$4)*($A$2:$A$494&gt;A13))+1,"")</f>
        <v/>
      </c>
    </row>
    <row r="14" customFormat="false" ht="15" hidden="false" customHeight="false" outlineLevel="0" collapsed="false">
      <c r="A14" s="39" t="n">
        <v>45852.6027777778</v>
      </c>
      <c r="B14" s="40" t="s">
        <v>29</v>
      </c>
      <c r="C14" s="41" t="s">
        <v>27</v>
      </c>
      <c r="D14" s="42" t="n">
        <v>14.77</v>
      </c>
      <c r="E14" s="43" t="n">
        <f aca="false">YEAR(A14)</f>
        <v>2025</v>
      </c>
      <c r="F14" s="43" t="n">
        <f aca="false">MONTH(A14)</f>
        <v>7</v>
      </c>
      <c r="G14" s="43" t="n">
        <f aca="false">E14*100+F14</f>
        <v>202507</v>
      </c>
      <c r="H14" s="43" t="str">
        <f aca="false">CHOOSE(F14,"Gen","Feb","Mar","Apr","Mag","Giu","Lug","Ago","Set","Ott","Nov","Dic")&amp;" "&amp;E14</f>
        <v>Lug 2025</v>
      </c>
      <c r="I14" s="43" t="n">
        <f aca="false">SUMPRODUCT(($A$2:$A$494&gt;A14)*1)+1</f>
        <v>481</v>
      </c>
      <c r="J14" s="43" t="str">
        <f aca="false">IF(G14=Supporto!$J$4,SUMPRODUCT(($G$2:$G$494=Supporto!$J$4)*($A$2:$A$494&gt;A14))+1,"")</f>
        <v/>
      </c>
    </row>
    <row r="15" customFormat="false" ht="15" hidden="false" customHeight="false" outlineLevel="0" collapsed="false">
      <c r="A15" s="39" t="n">
        <v>45852.7201388889</v>
      </c>
      <c r="B15" s="40" t="s">
        <v>29</v>
      </c>
      <c r="C15" s="41" t="s">
        <v>27</v>
      </c>
      <c r="D15" s="42" t="n">
        <v>18.95</v>
      </c>
      <c r="E15" s="43" t="n">
        <f aca="false">YEAR(A15)</f>
        <v>2025</v>
      </c>
      <c r="F15" s="43" t="n">
        <f aca="false">MONTH(A15)</f>
        <v>7</v>
      </c>
      <c r="G15" s="43" t="n">
        <f aca="false">E15*100+F15</f>
        <v>202507</v>
      </c>
      <c r="H15" s="43" t="str">
        <f aca="false">CHOOSE(F15,"Gen","Feb","Mar","Apr","Mag","Giu","Lug","Ago","Set","Ott","Nov","Dic")&amp;" "&amp;E15</f>
        <v>Lug 2025</v>
      </c>
      <c r="I15" s="43" t="n">
        <f aca="false">SUMPRODUCT(($A$2:$A$494&gt;A15)*1)+1</f>
        <v>480</v>
      </c>
      <c r="J15" s="43" t="str">
        <f aca="false">IF(G15=Supporto!$J$4,SUMPRODUCT(($G$2:$G$494=Supporto!$J$4)*($A$2:$A$494&gt;A15))+1,"")</f>
        <v/>
      </c>
    </row>
    <row r="16" customFormat="false" ht="15" hidden="false" customHeight="false" outlineLevel="0" collapsed="false">
      <c r="A16" s="39" t="n">
        <v>45853.6493055556</v>
      </c>
      <c r="B16" s="40" t="s">
        <v>35</v>
      </c>
      <c r="C16" s="41" t="s">
        <v>27</v>
      </c>
      <c r="D16" s="42" t="n">
        <v>17.22</v>
      </c>
      <c r="E16" s="43" t="n">
        <f aca="false">YEAR(A16)</f>
        <v>2025</v>
      </c>
      <c r="F16" s="43" t="n">
        <f aca="false">MONTH(A16)</f>
        <v>7</v>
      </c>
      <c r="G16" s="43" t="n">
        <f aca="false">E16*100+F16</f>
        <v>202507</v>
      </c>
      <c r="H16" s="43" t="str">
        <f aca="false">CHOOSE(F16,"Gen","Feb","Mar","Apr","Mag","Giu","Lug","Ago","Set","Ott","Nov","Dic")&amp;" "&amp;E16</f>
        <v>Lug 2025</v>
      </c>
      <c r="I16" s="43" t="n">
        <f aca="false">SUMPRODUCT(($A$2:$A$494&gt;A16)*1)+1</f>
        <v>479</v>
      </c>
      <c r="J16" s="43" t="str">
        <f aca="false">IF(G16=Supporto!$J$4,SUMPRODUCT(($G$2:$G$494=Supporto!$J$4)*($A$2:$A$494&gt;A16))+1,"")</f>
        <v/>
      </c>
    </row>
    <row r="17" customFormat="false" ht="15" hidden="false" customHeight="false" outlineLevel="0" collapsed="false">
      <c r="A17" s="39" t="n">
        <v>45853.7569444445</v>
      </c>
      <c r="B17" s="40" t="s">
        <v>34</v>
      </c>
      <c r="C17" s="41" t="s">
        <v>27</v>
      </c>
      <c r="D17" s="42" t="n">
        <v>56.83</v>
      </c>
      <c r="E17" s="43" t="n">
        <f aca="false">YEAR(A17)</f>
        <v>2025</v>
      </c>
      <c r="F17" s="43" t="n">
        <f aca="false">MONTH(A17)</f>
        <v>7</v>
      </c>
      <c r="G17" s="43" t="n">
        <f aca="false">E17*100+F17</f>
        <v>202507</v>
      </c>
      <c r="H17" s="43" t="str">
        <f aca="false">CHOOSE(F17,"Gen","Feb","Mar","Apr","Mag","Giu","Lug","Ago","Set","Ott","Nov","Dic")&amp;" "&amp;E17</f>
        <v>Lug 2025</v>
      </c>
      <c r="I17" s="43" t="n">
        <f aca="false">SUMPRODUCT(($A$2:$A$494&gt;A17)*1)+1</f>
        <v>478</v>
      </c>
      <c r="J17" s="43" t="str">
        <f aca="false">IF(G17=Supporto!$J$4,SUMPRODUCT(($G$2:$G$494=Supporto!$J$4)*($A$2:$A$494&gt;A17))+1,"")</f>
        <v/>
      </c>
    </row>
    <row r="18" customFormat="false" ht="15" hidden="false" customHeight="false" outlineLevel="0" collapsed="false">
      <c r="A18" s="39" t="n">
        <v>45856.7034722222</v>
      </c>
      <c r="B18" s="40" t="s">
        <v>28</v>
      </c>
      <c r="C18" s="41" t="s">
        <v>27</v>
      </c>
      <c r="D18" s="42" t="n">
        <v>203.27</v>
      </c>
      <c r="E18" s="43" t="n">
        <f aca="false">YEAR(A18)</f>
        <v>2025</v>
      </c>
      <c r="F18" s="43" t="n">
        <f aca="false">MONTH(A18)</f>
        <v>7</v>
      </c>
      <c r="G18" s="43" t="n">
        <f aca="false">E18*100+F18</f>
        <v>202507</v>
      </c>
      <c r="H18" s="43" t="str">
        <f aca="false">CHOOSE(F18,"Gen","Feb","Mar","Apr","Mag","Giu","Lug","Ago","Set","Ott","Nov","Dic")&amp;" "&amp;E18</f>
        <v>Lug 2025</v>
      </c>
      <c r="I18" s="43" t="n">
        <f aca="false">SUMPRODUCT(($A$2:$A$494&gt;A18)*1)+1</f>
        <v>477</v>
      </c>
      <c r="J18" s="43" t="str">
        <f aca="false">IF(G18=Supporto!$J$4,SUMPRODUCT(($G$2:$G$494=Supporto!$J$4)*($A$2:$A$494&gt;A18))+1,"")</f>
        <v/>
      </c>
    </row>
    <row r="19" customFormat="false" ht="15" hidden="false" customHeight="false" outlineLevel="0" collapsed="false">
      <c r="A19" s="39" t="n">
        <v>45857.6604166667</v>
      </c>
      <c r="B19" s="40" t="s">
        <v>29</v>
      </c>
      <c r="C19" s="41" t="s">
        <v>27</v>
      </c>
      <c r="D19" s="42" t="n">
        <v>28.78</v>
      </c>
      <c r="E19" s="43" t="n">
        <f aca="false">YEAR(A19)</f>
        <v>2025</v>
      </c>
      <c r="F19" s="43" t="n">
        <f aca="false">MONTH(A19)</f>
        <v>7</v>
      </c>
      <c r="G19" s="43" t="n">
        <f aca="false">E19*100+F19</f>
        <v>202507</v>
      </c>
      <c r="H19" s="43" t="str">
        <f aca="false">CHOOSE(F19,"Gen","Feb","Mar","Apr","Mag","Giu","Lug","Ago","Set","Ott","Nov","Dic")&amp;" "&amp;E19</f>
        <v>Lug 2025</v>
      </c>
      <c r="I19" s="43" t="n">
        <f aca="false">SUMPRODUCT(($A$2:$A$494&gt;A19)*1)+1</f>
        <v>476</v>
      </c>
      <c r="J19" s="43" t="str">
        <f aca="false">IF(G19=Supporto!$J$4,SUMPRODUCT(($G$2:$G$494=Supporto!$J$4)*($A$2:$A$494&gt;A19))+1,"")</f>
        <v/>
      </c>
    </row>
    <row r="20" customFormat="false" ht="15" hidden="false" customHeight="false" outlineLevel="0" collapsed="false">
      <c r="A20" s="39" t="n">
        <v>45857.8729166667</v>
      </c>
      <c r="B20" s="40" t="s">
        <v>33</v>
      </c>
      <c r="C20" s="41" t="s">
        <v>27</v>
      </c>
      <c r="D20" s="42" t="n">
        <v>15.49</v>
      </c>
      <c r="E20" s="43" t="n">
        <f aca="false">YEAR(A20)</f>
        <v>2025</v>
      </c>
      <c r="F20" s="43" t="n">
        <f aca="false">MONTH(A20)</f>
        <v>7</v>
      </c>
      <c r="G20" s="43" t="n">
        <f aca="false">E20*100+F20</f>
        <v>202507</v>
      </c>
      <c r="H20" s="43" t="str">
        <f aca="false">CHOOSE(F20,"Gen","Feb","Mar","Apr","Mag","Giu","Lug","Ago","Set","Ott","Nov","Dic")&amp;" "&amp;E20</f>
        <v>Lug 2025</v>
      </c>
      <c r="I20" s="43" t="n">
        <f aca="false">SUMPRODUCT(($A$2:$A$494&gt;A20)*1)+1</f>
        <v>475</v>
      </c>
      <c r="J20" s="43" t="str">
        <f aca="false">IF(G20=Supporto!$J$4,SUMPRODUCT(($G$2:$G$494=Supporto!$J$4)*($A$2:$A$494&gt;A20))+1,"")</f>
        <v/>
      </c>
    </row>
    <row r="21" customFormat="false" ht="15" hidden="false" customHeight="false" outlineLevel="0" collapsed="false">
      <c r="A21" s="39" t="n">
        <v>45859.5236111111</v>
      </c>
      <c r="B21" s="40" t="s">
        <v>34</v>
      </c>
      <c r="C21" s="41" t="s">
        <v>27</v>
      </c>
      <c r="D21" s="42" t="n">
        <v>3</v>
      </c>
      <c r="E21" s="43" t="n">
        <f aca="false">YEAR(A21)</f>
        <v>2025</v>
      </c>
      <c r="F21" s="43" t="n">
        <f aca="false">MONTH(A21)</f>
        <v>7</v>
      </c>
      <c r="G21" s="43" t="n">
        <f aca="false">E21*100+F21</f>
        <v>202507</v>
      </c>
      <c r="H21" s="43" t="str">
        <f aca="false">CHOOSE(F21,"Gen","Feb","Mar","Apr","Mag","Giu","Lug","Ago","Set","Ott","Nov","Dic")&amp;" "&amp;E21</f>
        <v>Lug 2025</v>
      </c>
      <c r="I21" s="43" t="n">
        <f aca="false">SUMPRODUCT(($A$2:$A$494&gt;A21)*1)+1</f>
        <v>474</v>
      </c>
      <c r="J21" s="43" t="str">
        <f aca="false">IF(G21=Supporto!$J$4,SUMPRODUCT(($G$2:$G$494=Supporto!$J$4)*($A$2:$A$494&gt;A21))+1,"")</f>
        <v/>
      </c>
    </row>
    <row r="22" customFormat="false" ht="15" hidden="false" customHeight="false" outlineLevel="0" collapsed="false">
      <c r="A22" s="39" t="n">
        <v>45859.775</v>
      </c>
      <c r="B22" s="40" t="s">
        <v>28</v>
      </c>
      <c r="C22" s="41" t="s">
        <v>27</v>
      </c>
      <c r="D22" s="42" t="n">
        <v>179.21</v>
      </c>
      <c r="E22" s="43" t="n">
        <f aca="false">YEAR(A22)</f>
        <v>2025</v>
      </c>
      <c r="F22" s="43" t="n">
        <f aca="false">MONTH(A22)</f>
        <v>7</v>
      </c>
      <c r="G22" s="43" t="n">
        <f aca="false">E22*100+F22</f>
        <v>202507</v>
      </c>
      <c r="H22" s="43" t="str">
        <f aca="false">CHOOSE(F22,"Gen","Feb","Mar","Apr","Mag","Giu","Lug","Ago","Set","Ott","Nov","Dic")&amp;" "&amp;E22</f>
        <v>Lug 2025</v>
      </c>
      <c r="I22" s="43" t="n">
        <f aca="false">SUMPRODUCT(($A$2:$A$494&gt;A22)*1)+1</f>
        <v>473</v>
      </c>
      <c r="J22" s="43" t="str">
        <f aca="false">IF(G22=Supporto!$J$4,SUMPRODUCT(($G$2:$G$494=Supporto!$J$4)*($A$2:$A$494&gt;A22))+1,"")</f>
        <v/>
      </c>
    </row>
    <row r="23" customFormat="false" ht="15" hidden="false" customHeight="false" outlineLevel="0" collapsed="false">
      <c r="A23" s="39" t="n">
        <v>45859.88125</v>
      </c>
      <c r="B23" s="40" t="s">
        <v>33</v>
      </c>
      <c r="C23" s="41" t="s">
        <v>27</v>
      </c>
      <c r="D23" s="42" t="n">
        <v>28.55</v>
      </c>
      <c r="E23" s="43" t="n">
        <f aca="false">YEAR(A23)</f>
        <v>2025</v>
      </c>
      <c r="F23" s="43" t="n">
        <f aca="false">MONTH(A23)</f>
        <v>7</v>
      </c>
      <c r="G23" s="43" t="n">
        <f aca="false">E23*100+F23</f>
        <v>202507</v>
      </c>
      <c r="H23" s="43" t="str">
        <f aca="false">CHOOSE(F23,"Gen","Feb","Mar","Apr","Mag","Giu","Lug","Ago","Set","Ott","Nov","Dic")&amp;" "&amp;E23</f>
        <v>Lug 2025</v>
      </c>
      <c r="I23" s="43" t="n">
        <f aca="false">SUMPRODUCT(($A$2:$A$494&gt;A23)*1)+1</f>
        <v>472</v>
      </c>
      <c r="J23" s="43" t="str">
        <f aca="false">IF(G23=Supporto!$J$4,SUMPRODUCT(($G$2:$G$494=Supporto!$J$4)*($A$2:$A$494&gt;A23))+1,"")</f>
        <v/>
      </c>
    </row>
    <row r="24" customFormat="false" ht="15" hidden="false" customHeight="false" outlineLevel="0" collapsed="false">
      <c r="A24" s="39" t="n">
        <v>45860.4013888889</v>
      </c>
      <c r="B24" s="40" t="s">
        <v>34</v>
      </c>
      <c r="C24" s="41" t="s">
        <v>27</v>
      </c>
      <c r="D24" s="42" t="n">
        <v>17.75</v>
      </c>
      <c r="E24" s="43" t="n">
        <f aca="false">YEAR(A24)</f>
        <v>2025</v>
      </c>
      <c r="F24" s="43" t="n">
        <f aca="false">MONTH(A24)</f>
        <v>7</v>
      </c>
      <c r="G24" s="43" t="n">
        <f aca="false">E24*100+F24</f>
        <v>202507</v>
      </c>
      <c r="H24" s="43" t="str">
        <f aca="false">CHOOSE(F24,"Gen","Feb","Mar","Apr","Mag","Giu","Lug","Ago","Set","Ott","Nov","Dic")&amp;" "&amp;E24</f>
        <v>Lug 2025</v>
      </c>
      <c r="I24" s="43" t="n">
        <f aca="false">SUMPRODUCT(($A$2:$A$494&gt;A24)*1)+1</f>
        <v>471</v>
      </c>
      <c r="J24" s="43" t="str">
        <f aca="false">IF(G24=Supporto!$J$4,SUMPRODUCT(($G$2:$G$494=Supporto!$J$4)*($A$2:$A$494&gt;A24))+1,"")</f>
        <v/>
      </c>
    </row>
    <row r="25" customFormat="false" ht="15" hidden="false" customHeight="false" outlineLevel="0" collapsed="false">
      <c r="A25" s="39" t="n">
        <v>45860.6555555556</v>
      </c>
      <c r="B25" s="40" t="s">
        <v>34</v>
      </c>
      <c r="C25" s="41" t="s">
        <v>27</v>
      </c>
      <c r="D25" s="42" t="n">
        <v>3</v>
      </c>
      <c r="E25" s="43" t="n">
        <f aca="false">YEAR(A25)</f>
        <v>2025</v>
      </c>
      <c r="F25" s="43" t="n">
        <f aca="false">MONTH(A25)</f>
        <v>7</v>
      </c>
      <c r="G25" s="43" t="n">
        <f aca="false">E25*100+F25</f>
        <v>202507</v>
      </c>
      <c r="H25" s="43" t="str">
        <f aca="false">CHOOSE(F25,"Gen","Feb","Mar","Apr","Mag","Giu","Lug","Ago","Set","Ott","Nov","Dic")&amp;" "&amp;E25</f>
        <v>Lug 2025</v>
      </c>
      <c r="I25" s="43" t="n">
        <f aca="false">SUMPRODUCT(($A$2:$A$494&gt;A25)*1)+1</f>
        <v>470</v>
      </c>
      <c r="J25" s="43" t="str">
        <f aca="false">IF(G25=Supporto!$J$4,SUMPRODUCT(($G$2:$G$494=Supporto!$J$4)*($A$2:$A$494&gt;A25))+1,"")</f>
        <v/>
      </c>
    </row>
    <row r="26" customFormat="false" ht="15" hidden="false" customHeight="false" outlineLevel="0" collapsed="false">
      <c r="A26" s="39" t="n">
        <v>45862.6472222222</v>
      </c>
      <c r="B26" s="40" t="s">
        <v>36</v>
      </c>
      <c r="C26" s="41" t="s">
        <v>27</v>
      </c>
      <c r="D26" s="42" t="n">
        <v>25.6</v>
      </c>
      <c r="E26" s="43" t="n">
        <f aca="false">YEAR(A26)</f>
        <v>2025</v>
      </c>
      <c r="F26" s="43" t="n">
        <f aca="false">MONTH(A26)</f>
        <v>7</v>
      </c>
      <c r="G26" s="43" t="n">
        <f aca="false">E26*100+F26</f>
        <v>202507</v>
      </c>
      <c r="H26" s="43" t="str">
        <f aca="false">CHOOSE(F26,"Gen","Feb","Mar","Apr","Mag","Giu","Lug","Ago","Set","Ott","Nov","Dic")&amp;" "&amp;E26</f>
        <v>Lug 2025</v>
      </c>
      <c r="I26" s="43" t="n">
        <f aca="false">SUMPRODUCT(($A$2:$A$494&gt;A26)*1)+1</f>
        <v>469</v>
      </c>
      <c r="J26" s="43" t="str">
        <f aca="false">IF(G26=Supporto!$J$4,SUMPRODUCT(($G$2:$G$494=Supporto!$J$4)*($A$2:$A$494&gt;A26))+1,"")</f>
        <v/>
      </c>
    </row>
    <row r="27" customFormat="false" ht="15" hidden="false" customHeight="false" outlineLevel="0" collapsed="false">
      <c r="A27" s="39" t="n">
        <v>45862.6576388889</v>
      </c>
      <c r="B27" s="40" t="s">
        <v>33</v>
      </c>
      <c r="C27" s="41" t="s">
        <v>27</v>
      </c>
      <c r="D27" s="42" t="n">
        <v>51.76</v>
      </c>
      <c r="E27" s="43" t="n">
        <f aca="false">YEAR(A27)</f>
        <v>2025</v>
      </c>
      <c r="F27" s="43" t="n">
        <f aca="false">MONTH(A27)</f>
        <v>7</v>
      </c>
      <c r="G27" s="43" t="n">
        <f aca="false">E27*100+F27</f>
        <v>202507</v>
      </c>
      <c r="H27" s="43" t="str">
        <f aca="false">CHOOSE(F27,"Gen","Feb","Mar","Apr","Mag","Giu","Lug","Ago","Set","Ott","Nov","Dic")&amp;" "&amp;E27</f>
        <v>Lug 2025</v>
      </c>
      <c r="I27" s="43" t="n">
        <f aca="false">SUMPRODUCT(($A$2:$A$494&gt;A27)*1)+1</f>
        <v>468</v>
      </c>
      <c r="J27" s="43" t="str">
        <f aca="false">IF(G27=Supporto!$J$4,SUMPRODUCT(($G$2:$G$494=Supporto!$J$4)*($A$2:$A$494&gt;A27))+1,"")</f>
        <v/>
      </c>
    </row>
    <row r="28" customFormat="false" ht="15" hidden="false" customHeight="false" outlineLevel="0" collapsed="false">
      <c r="A28" s="39" t="n">
        <v>45862.8333333333</v>
      </c>
      <c r="B28" s="40" t="s">
        <v>37</v>
      </c>
      <c r="C28" s="41" t="s">
        <v>32</v>
      </c>
      <c r="D28" s="42" t="n">
        <v>320.89</v>
      </c>
      <c r="E28" s="43" t="n">
        <f aca="false">YEAR(A28)</f>
        <v>2025</v>
      </c>
      <c r="F28" s="43" t="n">
        <f aca="false">MONTH(A28)</f>
        <v>7</v>
      </c>
      <c r="G28" s="43" t="n">
        <f aca="false">E28*100+F28</f>
        <v>202507</v>
      </c>
      <c r="H28" s="43" t="str">
        <f aca="false">CHOOSE(F28,"Gen","Feb","Mar","Apr","Mag","Giu","Lug","Ago","Set","Ott","Nov","Dic")&amp;" "&amp;E28</f>
        <v>Lug 2025</v>
      </c>
      <c r="I28" s="43" t="n">
        <f aca="false">SUMPRODUCT(($A$2:$A$494&gt;A28)*1)+1</f>
        <v>467</v>
      </c>
      <c r="J28" s="43" t="str">
        <f aca="false">IF(G28=Supporto!$J$4,SUMPRODUCT(($G$2:$G$494=Supporto!$J$4)*($A$2:$A$494&gt;A28))+1,"")</f>
        <v/>
      </c>
    </row>
    <row r="29" customFormat="false" ht="15" hidden="false" customHeight="false" outlineLevel="0" collapsed="false">
      <c r="A29" s="39" t="n">
        <v>45863.3430555556</v>
      </c>
      <c r="B29" s="40" t="s">
        <v>26</v>
      </c>
      <c r="C29" s="41" t="s">
        <v>27</v>
      </c>
      <c r="D29" s="42" t="n">
        <v>35.02</v>
      </c>
      <c r="E29" s="43" t="n">
        <f aca="false">YEAR(A29)</f>
        <v>2025</v>
      </c>
      <c r="F29" s="43" t="n">
        <f aca="false">MONTH(A29)</f>
        <v>7</v>
      </c>
      <c r="G29" s="43" t="n">
        <f aca="false">E29*100+F29</f>
        <v>202507</v>
      </c>
      <c r="H29" s="43" t="str">
        <f aca="false">CHOOSE(F29,"Gen","Feb","Mar","Apr","Mag","Giu","Lug","Ago","Set","Ott","Nov","Dic")&amp;" "&amp;E29</f>
        <v>Lug 2025</v>
      </c>
      <c r="I29" s="43" t="n">
        <f aca="false">SUMPRODUCT(($A$2:$A$494&gt;A29)*1)+1</f>
        <v>466</v>
      </c>
      <c r="J29" s="43" t="str">
        <f aca="false">IF(G29=Supporto!$J$4,SUMPRODUCT(($G$2:$G$494=Supporto!$J$4)*($A$2:$A$494&gt;A29))+1,"")</f>
        <v/>
      </c>
    </row>
    <row r="30" customFormat="false" ht="15" hidden="false" customHeight="false" outlineLevel="0" collapsed="false">
      <c r="A30" s="39" t="n">
        <v>45863.3715277778</v>
      </c>
      <c r="B30" s="40" t="s">
        <v>30</v>
      </c>
      <c r="C30" s="41" t="s">
        <v>27</v>
      </c>
      <c r="D30" s="42" t="n">
        <v>70.28</v>
      </c>
      <c r="E30" s="43" t="n">
        <f aca="false">YEAR(A30)</f>
        <v>2025</v>
      </c>
      <c r="F30" s="43" t="n">
        <f aca="false">MONTH(A30)</f>
        <v>7</v>
      </c>
      <c r="G30" s="43" t="n">
        <f aca="false">E30*100+F30</f>
        <v>202507</v>
      </c>
      <c r="H30" s="43" t="str">
        <f aca="false">CHOOSE(F30,"Gen","Feb","Mar","Apr","Mag","Giu","Lug","Ago","Set","Ott","Nov","Dic")&amp;" "&amp;E30</f>
        <v>Lug 2025</v>
      </c>
      <c r="I30" s="43" t="n">
        <f aca="false">SUMPRODUCT(($A$2:$A$494&gt;A30)*1)+1</f>
        <v>465</v>
      </c>
      <c r="J30" s="43" t="str">
        <f aca="false">IF(G30=Supporto!$J$4,SUMPRODUCT(($G$2:$G$494=Supporto!$J$4)*($A$2:$A$494&gt;A30))+1,"")</f>
        <v/>
      </c>
    </row>
    <row r="31" customFormat="false" ht="15" hidden="false" customHeight="false" outlineLevel="0" collapsed="false">
      <c r="A31" s="39" t="n">
        <v>45863.5222222222</v>
      </c>
      <c r="B31" s="40" t="s">
        <v>36</v>
      </c>
      <c r="C31" s="41" t="s">
        <v>27</v>
      </c>
      <c r="D31" s="42" t="n">
        <v>30.82</v>
      </c>
      <c r="E31" s="43" t="n">
        <f aca="false">YEAR(A31)</f>
        <v>2025</v>
      </c>
      <c r="F31" s="43" t="n">
        <f aca="false">MONTH(A31)</f>
        <v>7</v>
      </c>
      <c r="G31" s="43" t="n">
        <f aca="false">E31*100+F31</f>
        <v>202507</v>
      </c>
      <c r="H31" s="43" t="str">
        <f aca="false">CHOOSE(F31,"Gen","Feb","Mar","Apr","Mag","Giu","Lug","Ago","Set","Ott","Nov","Dic")&amp;" "&amp;E31</f>
        <v>Lug 2025</v>
      </c>
      <c r="I31" s="43" t="n">
        <f aca="false">SUMPRODUCT(($A$2:$A$494&gt;A31)*1)+1</f>
        <v>464</v>
      </c>
      <c r="J31" s="43" t="str">
        <f aca="false">IF(G31=Supporto!$J$4,SUMPRODUCT(($G$2:$G$494=Supporto!$J$4)*($A$2:$A$494&gt;A31))+1,"")</f>
        <v/>
      </c>
    </row>
    <row r="32" customFormat="false" ht="15" hidden="false" customHeight="false" outlineLevel="0" collapsed="false">
      <c r="A32" s="39" t="n">
        <v>45863.7131944444</v>
      </c>
      <c r="B32" s="40" t="s">
        <v>38</v>
      </c>
      <c r="C32" s="41" t="s">
        <v>27</v>
      </c>
      <c r="D32" s="42" t="n">
        <v>98.83</v>
      </c>
      <c r="E32" s="43" t="n">
        <f aca="false">YEAR(A32)</f>
        <v>2025</v>
      </c>
      <c r="F32" s="43" t="n">
        <f aca="false">MONTH(A32)</f>
        <v>7</v>
      </c>
      <c r="G32" s="43" t="n">
        <f aca="false">E32*100+F32</f>
        <v>202507</v>
      </c>
      <c r="H32" s="43" t="str">
        <f aca="false">CHOOSE(F32,"Gen","Feb","Mar","Apr","Mag","Giu","Lug","Ago","Set","Ott","Nov","Dic")&amp;" "&amp;E32</f>
        <v>Lug 2025</v>
      </c>
      <c r="I32" s="43" t="n">
        <f aca="false">SUMPRODUCT(($A$2:$A$494&gt;A32)*1)+1</f>
        <v>463</v>
      </c>
      <c r="J32" s="43" t="str">
        <f aca="false">IF(G32=Supporto!$J$4,SUMPRODUCT(($G$2:$G$494=Supporto!$J$4)*($A$2:$A$494&gt;A32))+1,"")</f>
        <v/>
      </c>
    </row>
    <row r="33" customFormat="false" ht="15" hidden="false" customHeight="false" outlineLevel="0" collapsed="false">
      <c r="A33" s="39" t="n">
        <v>45864.5305555556</v>
      </c>
      <c r="B33" s="40" t="s">
        <v>29</v>
      </c>
      <c r="C33" s="41" t="s">
        <v>27</v>
      </c>
      <c r="D33" s="42" t="n">
        <v>152.72</v>
      </c>
      <c r="E33" s="43" t="n">
        <f aca="false">YEAR(A33)</f>
        <v>2025</v>
      </c>
      <c r="F33" s="43" t="n">
        <f aca="false">MONTH(A33)</f>
        <v>7</v>
      </c>
      <c r="G33" s="43" t="n">
        <f aca="false">E33*100+F33</f>
        <v>202507</v>
      </c>
      <c r="H33" s="43" t="str">
        <f aca="false">CHOOSE(F33,"Gen","Feb","Mar","Apr","Mag","Giu","Lug","Ago","Set","Ott","Nov","Dic")&amp;" "&amp;E33</f>
        <v>Lug 2025</v>
      </c>
      <c r="I33" s="43" t="n">
        <f aca="false">SUMPRODUCT(($A$2:$A$494&gt;A33)*1)+1</f>
        <v>462</v>
      </c>
      <c r="J33" s="43" t="str">
        <f aca="false">IF(G33=Supporto!$J$4,SUMPRODUCT(($G$2:$G$494=Supporto!$J$4)*($A$2:$A$494&gt;A33))+1,"")</f>
        <v/>
      </c>
    </row>
    <row r="34" customFormat="false" ht="15" hidden="false" customHeight="false" outlineLevel="0" collapsed="false">
      <c r="A34" s="39" t="n">
        <v>45864.8597222222</v>
      </c>
      <c r="B34" s="40" t="s">
        <v>39</v>
      </c>
      <c r="C34" s="41" t="s">
        <v>27</v>
      </c>
      <c r="D34" s="42" t="n">
        <v>27.68</v>
      </c>
      <c r="E34" s="43" t="n">
        <f aca="false">YEAR(A34)</f>
        <v>2025</v>
      </c>
      <c r="F34" s="43" t="n">
        <f aca="false">MONTH(A34)</f>
        <v>7</v>
      </c>
      <c r="G34" s="43" t="n">
        <f aca="false">E34*100+F34</f>
        <v>202507</v>
      </c>
      <c r="H34" s="43" t="str">
        <f aca="false">CHOOSE(F34,"Gen","Feb","Mar","Apr","Mag","Giu","Lug","Ago","Set","Ott","Nov","Dic")&amp;" "&amp;E34</f>
        <v>Lug 2025</v>
      </c>
      <c r="I34" s="43" t="n">
        <f aca="false">SUMPRODUCT(($A$2:$A$494&gt;A34)*1)+1</f>
        <v>461</v>
      </c>
      <c r="J34" s="43" t="str">
        <f aca="false">IF(G34=Supporto!$J$4,SUMPRODUCT(($G$2:$G$494=Supporto!$J$4)*($A$2:$A$494&gt;A34))+1,"")</f>
        <v/>
      </c>
    </row>
    <row r="35" customFormat="false" ht="15" hidden="false" customHeight="false" outlineLevel="0" collapsed="false">
      <c r="A35" s="39" t="n">
        <v>45865.36875</v>
      </c>
      <c r="B35" s="40" t="s">
        <v>26</v>
      </c>
      <c r="C35" s="41" t="s">
        <v>27</v>
      </c>
      <c r="D35" s="42" t="n">
        <v>41.13</v>
      </c>
      <c r="E35" s="43" t="n">
        <f aca="false">YEAR(A35)</f>
        <v>2025</v>
      </c>
      <c r="F35" s="43" t="n">
        <f aca="false">MONTH(A35)</f>
        <v>7</v>
      </c>
      <c r="G35" s="43" t="n">
        <f aca="false">E35*100+F35</f>
        <v>202507</v>
      </c>
      <c r="H35" s="43" t="str">
        <f aca="false">CHOOSE(F35,"Gen","Feb","Mar","Apr","Mag","Giu","Lug","Ago","Set","Ott","Nov","Dic")&amp;" "&amp;E35</f>
        <v>Lug 2025</v>
      </c>
      <c r="I35" s="43" t="n">
        <f aca="false">SUMPRODUCT(($A$2:$A$494&gt;A35)*1)+1</f>
        <v>460</v>
      </c>
      <c r="J35" s="43" t="str">
        <f aca="false">IF(G35=Supporto!$J$4,SUMPRODUCT(($G$2:$G$494=Supporto!$J$4)*($A$2:$A$494&gt;A35))+1,"")</f>
        <v/>
      </c>
    </row>
    <row r="36" customFormat="false" ht="15" hidden="false" customHeight="false" outlineLevel="0" collapsed="false">
      <c r="A36" s="39" t="n">
        <v>45865.375</v>
      </c>
      <c r="B36" s="40" t="s">
        <v>40</v>
      </c>
      <c r="C36" s="41" t="s">
        <v>32</v>
      </c>
      <c r="D36" s="42" t="n">
        <v>2377.89</v>
      </c>
      <c r="E36" s="43" t="n">
        <f aca="false">YEAR(A36)</f>
        <v>2025</v>
      </c>
      <c r="F36" s="43" t="n">
        <f aca="false">MONTH(A36)</f>
        <v>7</v>
      </c>
      <c r="G36" s="43" t="n">
        <f aca="false">E36*100+F36</f>
        <v>202507</v>
      </c>
      <c r="H36" s="43" t="str">
        <f aca="false">CHOOSE(F36,"Gen","Feb","Mar","Apr","Mag","Giu","Lug","Ago","Set","Ott","Nov","Dic")&amp;" "&amp;E36</f>
        <v>Lug 2025</v>
      </c>
      <c r="I36" s="43" t="n">
        <f aca="false">SUMPRODUCT(($A$2:$A$494&gt;A36)*1)+1</f>
        <v>459</v>
      </c>
      <c r="J36" s="43" t="str">
        <f aca="false">IF(G36=Supporto!$J$4,SUMPRODUCT(($G$2:$G$494=Supporto!$J$4)*($A$2:$A$494&gt;A36))+1,"")</f>
        <v/>
      </c>
    </row>
    <row r="37" customFormat="false" ht="15" hidden="false" customHeight="false" outlineLevel="0" collapsed="false">
      <c r="A37" s="39" t="n">
        <v>45865.3784722222</v>
      </c>
      <c r="B37" s="40" t="s">
        <v>41</v>
      </c>
      <c r="C37" s="41" t="s">
        <v>32</v>
      </c>
      <c r="D37" s="42" t="n">
        <v>1855</v>
      </c>
      <c r="E37" s="43" t="n">
        <f aca="false">YEAR(A37)</f>
        <v>2025</v>
      </c>
      <c r="F37" s="43" t="n">
        <f aca="false">MONTH(A37)</f>
        <v>7</v>
      </c>
      <c r="G37" s="43" t="n">
        <f aca="false">E37*100+F37</f>
        <v>202507</v>
      </c>
      <c r="H37" s="43" t="str">
        <f aca="false">CHOOSE(F37,"Gen","Feb","Mar","Apr","Mag","Giu","Lug","Ago","Set","Ott","Nov","Dic")&amp;" "&amp;E37</f>
        <v>Lug 2025</v>
      </c>
      <c r="I37" s="43" t="n">
        <f aca="false">SUMPRODUCT(($A$2:$A$494&gt;A37)*1)+1</f>
        <v>458</v>
      </c>
      <c r="J37" s="43" t="str">
        <f aca="false">IF(G37=Supporto!$J$4,SUMPRODUCT(($G$2:$G$494=Supporto!$J$4)*($A$2:$A$494&gt;A37))+1,"")</f>
        <v/>
      </c>
    </row>
    <row r="38" customFormat="false" ht="15" hidden="false" customHeight="false" outlineLevel="0" collapsed="false">
      <c r="A38" s="39" t="n">
        <v>45866.3215277778</v>
      </c>
      <c r="B38" s="40" t="s">
        <v>35</v>
      </c>
      <c r="C38" s="41" t="s">
        <v>27</v>
      </c>
      <c r="D38" s="42" t="n">
        <v>11.68</v>
      </c>
      <c r="E38" s="43" t="n">
        <f aca="false">YEAR(A38)</f>
        <v>2025</v>
      </c>
      <c r="F38" s="43" t="n">
        <f aca="false">MONTH(A38)</f>
        <v>7</v>
      </c>
      <c r="G38" s="43" t="n">
        <f aca="false">E38*100+F38</f>
        <v>202507</v>
      </c>
      <c r="H38" s="43" t="str">
        <f aca="false">CHOOSE(F38,"Gen","Feb","Mar","Apr","Mag","Giu","Lug","Ago","Set","Ott","Nov","Dic")&amp;" "&amp;E38</f>
        <v>Lug 2025</v>
      </c>
      <c r="I38" s="43" t="n">
        <f aca="false">SUMPRODUCT(($A$2:$A$494&gt;A38)*1)+1</f>
        <v>457</v>
      </c>
      <c r="J38" s="43" t="str">
        <f aca="false">IF(G38=Supporto!$J$4,SUMPRODUCT(($G$2:$G$494=Supporto!$J$4)*($A$2:$A$494&gt;A38))+1,"")</f>
        <v/>
      </c>
    </row>
    <row r="39" customFormat="false" ht="15" hidden="false" customHeight="false" outlineLevel="0" collapsed="false">
      <c r="A39" s="39" t="n">
        <v>45866.325</v>
      </c>
      <c r="B39" s="40" t="s">
        <v>29</v>
      </c>
      <c r="C39" s="41" t="s">
        <v>27</v>
      </c>
      <c r="D39" s="42" t="n">
        <v>64.59</v>
      </c>
      <c r="E39" s="43" t="n">
        <f aca="false">YEAR(A39)</f>
        <v>2025</v>
      </c>
      <c r="F39" s="43" t="n">
        <f aca="false">MONTH(A39)</f>
        <v>7</v>
      </c>
      <c r="G39" s="43" t="n">
        <f aca="false">E39*100+F39</f>
        <v>202507</v>
      </c>
      <c r="H39" s="43" t="str">
        <f aca="false">CHOOSE(F39,"Gen","Feb","Mar","Apr","Mag","Giu","Lug","Ago","Set","Ott","Nov","Dic")&amp;" "&amp;E39</f>
        <v>Lug 2025</v>
      </c>
      <c r="I39" s="43" t="n">
        <f aca="false">SUMPRODUCT(($A$2:$A$494&gt;A39)*1)+1</f>
        <v>456</v>
      </c>
      <c r="J39" s="43" t="str">
        <f aca="false">IF(G39=Supporto!$J$4,SUMPRODUCT(($G$2:$G$494=Supporto!$J$4)*($A$2:$A$494&gt;A39))+1,"")</f>
        <v/>
      </c>
    </row>
    <row r="40" customFormat="false" ht="15" hidden="false" customHeight="false" outlineLevel="0" collapsed="false">
      <c r="A40" s="39" t="n">
        <v>45871.6222222222</v>
      </c>
      <c r="B40" s="40" t="s">
        <v>29</v>
      </c>
      <c r="C40" s="41" t="s">
        <v>27</v>
      </c>
      <c r="D40" s="42" t="n">
        <v>136.03</v>
      </c>
      <c r="E40" s="43" t="n">
        <f aca="false">YEAR(A40)</f>
        <v>2025</v>
      </c>
      <c r="F40" s="43" t="n">
        <f aca="false">MONTH(A40)</f>
        <v>8</v>
      </c>
      <c r="G40" s="43" t="n">
        <f aca="false">E40*100+F40</f>
        <v>202508</v>
      </c>
      <c r="H40" s="43" t="str">
        <f aca="false">CHOOSE(F40,"Gen","Feb","Mar","Apr","Mag","Giu","Lug","Ago","Set","Ott","Nov","Dic")&amp;" "&amp;E40</f>
        <v>Ago 2025</v>
      </c>
      <c r="I40" s="43" t="n">
        <f aca="false">SUMPRODUCT(($A$2:$A$494&gt;A40)*1)+1</f>
        <v>455</v>
      </c>
      <c r="J40" s="43" t="str">
        <f aca="false">IF(G40=Supporto!$J$4,SUMPRODUCT(($G$2:$G$494=Supporto!$J$4)*($A$2:$A$494&gt;A40))+1,"")</f>
        <v/>
      </c>
    </row>
    <row r="41" customFormat="false" ht="15" hidden="false" customHeight="false" outlineLevel="0" collapsed="false">
      <c r="A41" s="39" t="n">
        <v>45872.3430555556</v>
      </c>
      <c r="B41" s="40" t="s">
        <v>34</v>
      </c>
      <c r="C41" s="41" t="s">
        <v>27</v>
      </c>
      <c r="D41" s="42" t="n">
        <v>28.1</v>
      </c>
      <c r="E41" s="43" t="n">
        <f aca="false">YEAR(A41)</f>
        <v>2025</v>
      </c>
      <c r="F41" s="43" t="n">
        <f aca="false">MONTH(A41)</f>
        <v>8</v>
      </c>
      <c r="G41" s="43" t="n">
        <f aca="false">E41*100+F41</f>
        <v>202508</v>
      </c>
      <c r="H41" s="43" t="str">
        <f aca="false">CHOOSE(F41,"Gen","Feb","Mar","Apr","Mag","Giu","Lug","Ago","Set","Ott","Nov","Dic")&amp;" "&amp;E41</f>
        <v>Ago 2025</v>
      </c>
      <c r="I41" s="43" t="n">
        <f aca="false">SUMPRODUCT(($A$2:$A$494&gt;A41)*1)+1</f>
        <v>454</v>
      </c>
      <c r="J41" s="43" t="str">
        <f aca="false">IF(G41=Supporto!$J$4,SUMPRODUCT(($G$2:$G$494=Supporto!$J$4)*($A$2:$A$494&gt;A41))+1,"")</f>
        <v/>
      </c>
    </row>
    <row r="42" customFormat="false" ht="15" hidden="false" customHeight="false" outlineLevel="0" collapsed="false">
      <c r="A42" s="39" t="n">
        <v>45872.3715277778</v>
      </c>
      <c r="B42" s="40" t="s">
        <v>34</v>
      </c>
      <c r="C42" s="41" t="s">
        <v>27</v>
      </c>
      <c r="D42" s="42" t="n">
        <v>46.24</v>
      </c>
      <c r="E42" s="43" t="n">
        <f aca="false">YEAR(A42)</f>
        <v>2025</v>
      </c>
      <c r="F42" s="43" t="n">
        <f aca="false">MONTH(A42)</f>
        <v>8</v>
      </c>
      <c r="G42" s="43" t="n">
        <f aca="false">E42*100+F42</f>
        <v>202508</v>
      </c>
      <c r="H42" s="43" t="str">
        <f aca="false">CHOOSE(F42,"Gen","Feb","Mar","Apr","Mag","Giu","Lug","Ago","Set","Ott","Nov","Dic")&amp;" "&amp;E42</f>
        <v>Ago 2025</v>
      </c>
      <c r="I42" s="43" t="n">
        <f aca="false">SUMPRODUCT(($A$2:$A$494&gt;A42)*1)+1</f>
        <v>453</v>
      </c>
      <c r="J42" s="43" t="str">
        <f aca="false">IF(G42=Supporto!$J$4,SUMPRODUCT(($G$2:$G$494=Supporto!$J$4)*($A$2:$A$494&gt;A42))+1,"")</f>
        <v/>
      </c>
    </row>
    <row r="43" customFormat="false" ht="15" hidden="false" customHeight="false" outlineLevel="0" collapsed="false">
      <c r="A43" s="39" t="n">
        <v>45872.4638888889</v>
      </c>
      <c r="B43" s="40" t="s">
        <v>29</v>
      </c>
      <c r="C43" s="41" t="s">
        <v>27</v>
      </c>
      <c r="D43" s="42" t="n">
        <v>217.25</v>
      </c>
      <c r="E43" s="43" t="n">
        <f aca="false">YEAR(A43)</f>
        <v>2025</v>
      </c>
      <c r="F43" s="43" t="n">
        <f aca="false">MONTH(A43)</f>
        <v>8</v>
      </c>
      <c r="G43" s="43" t="n">
        <f aca="false">E43*100+F43</f>
        <v>202508</v>
      </c>
      <c r="H43" s="43" t="str">
        <f aca="false">CHOOSE(F43,"Gen","Feb","Mar","Apr","Mag","Giu","Lug","Ago","Set","Ott","Nov","Dic")&amp;" "&amp;E43</f>
        <v>Ago 2025</v>
      </c>
      <c r="I43" s="43" t="n">
        <f aca="false">SUMPRODUCT(($A$2:$A$494&gt;A43)*1)+1</f>
        <v>452</v>
      </c>
      <c r="J43" s="43" t="str">
        <f aca="false">IF(G43=Supporto!$J$4,SUMPRODUCT(($G$2:$G$494=Supporto!$J$4)*($A$2:$A$494&gt;A43))+1,"")</f>
        <v/>
      </c>
    </row>
    <row r="44" customFormat="false" ht="15" hidden="false" customHeight="false" outlineLevel="0" collapsed="false">
      <c r="A44" s="39" t="n">
        <v>45872.9104166667</v>
      </c>
      <c r="B44" s="40" t="s">
        <v>33</v>
      </c>
      <c r="C44" s="41" t="s">
        <v>27</v>
      </c>
      <c r="D44" s="42" t="n">
        <v>8.29</v>
      </c>
      <c r="E44" s="43" t="n">
        <f aca="false">YEAR(A44)</f>
        <v>2025</v>
      </c>
      <c r="F44" s="43" t="n">
        <f aca="false">MONTH(A44)</f>
        <v>8</v>
      </c>
      <c r="G44" s="43" t="n">
        <f aca="false">E44*100+F44</f>
        <v>202508</v>
      </c>
      <c r="H44" s="43" t="str">
        <f aca="false">CHOOSE(F44,"Gen","Feb","Mar","Apr","Mag","Giu","Lug","Ago","Set","Ott","Nov","Dic")&amp;" "&amp;E44</f>
        <v>Ago 2025</v>
      </c>
      <c r="I44" s="43" t="n">
        <f aca="false">SUMPRODUCT(($A$2:$A$494&gt;A44)*1)+1</f>
        <v>451</v>
      </c>
      <c r="J44" s="43" t="str">
        <f aca="false">IF(G44=Supporto!$J$4,SUMPRODUCT(($G$2:$G$494=Supporto!$J$4)*($A$2:$A$494&gt;A44))+1,"")</f>
        <v/>
      </c>
    </row>
    <row r="45" customFormat="false" ht="15" hidden="false" customHeight="false" outlineLevel="0" collapsed="false">
      <c r="A45" s="39" t="n">
        <v>45873.8486111111</v>
      </c>
      <c r="B45" s="40" t="s">
        <v>26</v>
      </c>
      <c r="C45" s="41" t="s">
        <v>27</v>
      </c>
      <c r="D45" s="42" t="n">
        <v>3</v>
      </c>
      <c r="E45" s="43" t="n">
        <f aca="false">YEAR(A45)</f>
        <v>2025</v>
      </c>
      <c r="F45" s="43" t="n">
        <f aca="false">MONTH(A45)</f>
        <v>8</v>
      </c>
      <c r="G45" s="43" t="n">
        <f aca="false">E45*100+F45</f>
        <v>202508</v>
      </c>
      <c r="H45" s="43" t="str">
        <f aca="false">CHOOSE(F45,"Gen","Feb","Mar","Apr","Mag","Giu","Lug","Ago","Set","Ott","Nov","Dic")&amp;" "&amp;E45</f>
        <v>Ago 2025</v>
      </c>
      <c r="I45" s="43" t="n">
        <f aca="false">SUMPRODUCT(($A$2:$A$494&gt;A45)*1)+1</f>
        <v>450</v>
      </c>
      <c r="J45" s="43" t="str">
        <f aca="false">IF(G45=Supporto!$J$4,SUMPRODUCT(($G$2:$G$494=Supporto!$J$4)*($A$2:$A$494&gt;A45))+1,"")</f>
        <v/>
      </c>
    </row>
    <row r="46" customFormat="false" ht="15" hidden="false" customHeight="false" outlineLevel="0" collapsed="false">
      <c r="A46" s="39" t="n">
        <v>45875.7916666667</v>
      </c>
      <c r="B46" s="40" t="s">
        <v>30</v>
      </c>
      <c r="C46" s="41" t="s">
        <v>27</v>
      </c>
      <c r="D46" s="42" t="n">
        <v>41.2</v>
      </c>
      <c r="E46" s="43" t="n">
        <f aca="false">YEAR(A46)</f>
        <v>2025</v>
      </c>
      <c r="F46" s="43" t="n">
        <f aca="false">MONTH(A46)</f>
        <v>8</v>
      </c>
      <c r="G46" s="43" t="n">
        <f aca="false">E46*100+F46</f>
        <v>202508</v>
      </c>
      <c r="H46" s="43" t="str">
        <f aca="false">CHOOSE(F46,"Gen","Feb","Mar","Apr","Mag","Giu","Lug","Ago","Set","Ott","Nov","Dic")&amp;" "&amp;E46</f>
        <v>Ago 2025</v>
      </c>
      <c r="I46" s="43" t="n">
        <f aca="false">SUMPRODUCT(($A$2:$A$494&gt;A46)*1)+1</f>
        <v>449</v>
      </c>
      <c r="J46" s="43" t="str">
        <f aca="false">IF(G46=Supporto!$J$4,SUMPRODUCT(($G$2:$G$494=Supporto!$J$4)*($A$2:$A$494&gt;A46))+1,"")</f>
        <v/>
      </c>
    </row>
    <row r="47" customFormat="false" ht="15" hidden="false" customHeight="false" outlineLevel="0" collapsed="false">
      <c r="A47" s="39" t="n">
        <v>45876.5729166667</v>
      </c>
      <c r="B47" s="40" t="s">
        <v>28</v>
      </c>
      <c r="C47" s="41" t="s">
        <v>27</v>
      </c>
      <c r="D47" s="42" t="n">
        <v>145.63</v>
      </c>
      <c r="E47" s="43" t="n">
        <f aca="false">YEAR(A47)</f>
        <v>2025</v>
      </c>
      <c r="F47" s="43" t="n">
        <f aca="false">MONTH(A47)</f>
        <v>8</v>
      </c>
      <c r="G47" s="43" t="n">
        <f aca="false">E47*100+F47</f>
        <v>202508</v>
      </c>
      <c r="H47" s="43" t="str">
        <f aca="false">CHOOSE(F47,"Gen","Feb","Mar","Apr","Mag","Giu","Lug","Ago","Set","Ott","Nov","Dic")&amp;" "&amp;E47</f>
        <v>Ago 2025</v>
      </c>
      <c r="I47" s="43" t="n">
        <f aca="false">SUMPRODUCT(($A$2:$A$494&gt;A47)*1)+1</f>
        <v>448</v>
      </c>
      <c r="J47" s="43" t="str">
        <f aca="false">IF(G47=Supporto!$J$4,SUMPRODUCT(($G$2:$G$494=Supporto!$J$4)*($A$2:$A$494&gt;A47))+1,"")</f>
        <v/>
      </c>
    </row>
    <row r="48" customFormat="false" ht="15" hidden="false" customHeight="false" outlineLevel="0" collapsed="false">
      <c r="A48" s="39" t="n">
        <v>45876.6756944444</v>
      </c>
      <c r="B48" s="40" t="s">
        <v>39</v>
      </c>
      <c r="C48" s="41" t="s">
        <v>27</v>
      </c>
      <c r="D48" s="42" t="n">
        <v>53.52</v>
      </c>
      <c r="E48" s="43" t="n">
        <f aca="false">YEAR(A48)</f>
        <v>2025</v>
      </c>
      <c r="F48" s="43" t="n">
        <f aca="false">MONTH(A48)</f>
        <v>8</v>
      </c>
      <c r="G48" s="43" t="n">
        <f aca="false">E48*100+F48</f>
        <v>202508</v>
      </c>
      <c r="H48" s="43" t="str">
        <f aca="false">CHOOSE(F48,"Gen","Feb","Mar","Apr","Mag","Giu","Lug","Ago","Set","Ott","Nov","Dic")&amp;" "&amp;E48</f>
        <v>Ago 2025</v>
      </c>
      <c r="I48" s="43" t="n">
        <f aca="false">SUMPRODUCT(($A$2:$A$494&gt;A48)*1)+1</f>
        <v>447</v>
      </c>
      <c r="J48" s="43" t="str">
        <f aca="false">IF(G48=Supporto!$J$4,SUMPRODUCT(($G$2:$G$494=Supporto!$J$4)*($A$2:$A$494&gt;A48))+1,"")</f>
        <v/>
      </c>
    </row>
    <row r="49" customFormat="false" ht="15" hidden="false" customHeight="false" outlineLevel="0" collapsed="false">
      <c r="A49" s="39" t="n">
        <v>45877.5833333333</v>
      </c>
      <c r="B49" s="40" t="s">
        <v>34</v>
      </c>
      <c r="C49" s="41" t="s">
        <v>27</v>
      </c>
      <c r="D49" s="42" t="n">
        <v>37.97</v>
      </c>
      <c r="E49" s="43" t="n">
        <f aca="false">YEAR(A49)</f>
        <v>2025</v>
      </c>
      <c r="F49" s="43" t="n">
        <f aca="false">MONTH(A49)</f>
        <v>8</v>
      </c>
      <c r="G49" s="43" t="n">
        <f aca="false">E49*100+F49</f>
        <v>202508</v>
      </c>
      <c r="H49" s="43" t="str">
        <f aca="false">CHOOSE(F49,"Gen","Feb","Mar","Apr","Mag","Giu","Lug","Ago","Set","Ott","Nov","Dic")&amp;" "&amp;E49</f>
        <v>Ago 2025</v>
      </c>
      <c r="I49" s="43" t="n">
        <f aca="false">SUMPRODUCT(($A$2:$A$494&gt;A49)*1)+1</f>
        <v>446</v>
      </c>
      <c r="J49" s="43" t="str">
        <f aca="false">IF(G49=Supporto!$J$4,SUMPRODUCT(($G$2:$G$494=Supporto!$J$4)*($A$2:$A$494&gt;A49))+1,"")</f>
        <v/>
      </c>
    </row>
    <row r="50" customFormat="false" ht="15" hidden="false" customHeight="false" outlineLevel="0" collapsed="false">
      <c r="A50" s="39" t="n">
        <v>45879.8208333333</v>
      </c>
      <c r="B50" s="40" t="s">
        <v>28</v>
      </c>
      <c r="C50" s="41" t="s">
        <v>27</v>
      </c>
      <c r="D50" s="42" t="n">
        <v>319.75</v>
      </c>
      <c r="E50" s="43" t="n">
        <f aca="false">YEAR(A50)</f>
        <v>2025</v>
      </c>
      <c r="F50" s="43" t="n">
        <f aca="false">MONTH(A50)</f>
        <v>8</v>
      </c>
      <c r="G50" s="43" t="n">
        <f aca="false">E50*100+F50</f>
        <v>202508</v>
      </c>
      <c r="H50" s="43" t="str">
        <f aca="false">CHOOSE(F50,"Gen","Feb","Mar","Apr","Mag","Giu","Lug","Ago","Set","Ott","Nov","Dic")&amp;" "&amp;E50</f>
        <v>Ago 2025</v>
      </c>
      <c r="I50" s="43" t="n">
        <f aca="false">SUMPRODUCT(($A$2:$A$494&gt;A50)*1)+1</f>
        <v>445</v>
      </c>
      <c r="J50" s="43" t="str">
        <f aca="false">IF(G50=Supporto!$J$4,SUMPRODUCT(($G$2:$G$494=Supporto!$J$4)*($A$2:$A$494&gt;A50))+1,"")</f>
        <v/>
      </c>
    </row>
    <row r="51" customFormat="false" ht="15" hidden="false" customHeight="false" outlineLevel="0" collapsed="false">
      <c r="A51" s="39" t="n">
        <v>45880.3354166667</v>
      </c>
      <c r="B51" s="40" t="s">
        <v>35</v>
      </c>
      <c r="C51" s="41" t="s">
        <v>27</v>
      </c>
      <c r="D51" s="42" t="n">
        <v>9.49</v>
      </c>
      <c r="E51" s="43" t="n">
        <f aca="false">YEAR(A51)</f>
        <v>2025</v>
      </c>
      <c r="F51" s="43" t="n">
        <f aca="false">MONTH(A51)</f>
        <v>8</v>
      </c>
      <c r="G51" s="43" t="n">
        <f aca="false">E51*100+F51</f>
        <v>202508</v>
      </c>
      <c r="H51" s="43" t="str">
        <f aca="false">CHOOSE(F51,"Gen","Feb","Mar","Apr","Mag","Giu","Lug","Ago","Set","Ott","Nov","Dic")&amp;" "&amp;E51</f>
        <v>Ago 2025</v>
      </c>
      <c r="I51" s="43" t="n">
        <f aca="false">SUMPRODUCT(($A$2:$A$494&gt;A51)*1)+1</f>
        <v>444</v>
      </c>
      <c r="J51" s="43" t="str">
        <f aca="false">IF(G51=Supporto!$J$4,SUMPRODUCT(($G$2:$G$494=Supporto!$J$4)*($A$2:$A$494&gt;A51))+1,"")</f>
        <v/>
      </c>
    </row>
    <row r="52" customFormat="false" ht="15" hidden="false" customHeight="false" outlineLevel="0" collapsed="false">
      <c r="A52" s="39" t="n">
        <v>45881.8333333333</v>
      </c>
      <c r="B52" s="40" t="s">
        <v>37</v>
      </c>
      <c r="C52" s="41" t="s">
        <v>32</v>
      </c>
      <c r="D52" s="42" t="n">
        <v>285.88</v>
      </c>
      <c r="E52" s="43" t="n">
        <f aca="false">YEAR(A52)</f>
        <v>2025</v>
      </c>
      <c r="F52" s="43" t="n">
        <f aca="false">MONTH(A52)</f>
        <v>8</v>
      </c>
      <c r="G52" s="43" t="n">
        <f aca="false">E52*100+F52</f>
        <v>202508</v>
      </c>
      <c r="H52" s="43" t="str">
        <f aca="false">CHOOSE(F52,"Gen","Feb","Mar","Apr","Mag","Giu","Lug","Ago","Set","Ott","Nov","Dic")&amp;" "&amp;E52</f>
        <v>Ago 2025</v>
      </c>
      <c r="I52" s="43" t="n">
        <f aca="false">SUMPRODUCT(($A$2:$A$494&gt;A52)*1)+1</f>
        <v>443</v>
      </c>
      <c r="J52" s="43" t="str">
        <f aca="false">IF(G52=Supporto!$J$4,SUMPRODUCT(($G$2:$G$494=Supporto!$J$4)*($A$2:$A$494&gt;A52))+1,"")</f>
        <v/>
      </c>
    </row>
    <row r="53" customFormat="false" ht="15" hidden="false" customHeight="false" outlineLevel="0" collapsed="false">
      <c r="A53" s="39" t="n">
        <v>45882.6659722222</v>
      </c>
      <c r="B53" s="40" t="s">
        <v>30</v>
      </c>
      <c r="C53" s="41" t="s">
        <v>27</v>
      </c>
      <c r="D53" s="42" t="n">
        <v>4.45</v>
      </c>
      <c r="E53" s="43" t="n">
        <f aca="false">YEAR(A53)</f>
        <v>2025</v>
      </c>
      <c r="F53" s="43" t="n">
        <f aca="false">MONTH(A53)</f>
        <v>8</v>
      </c>
      <c r="G53" s="43" t="n">
        <f aca="false">E53*100+F53</f>
        <v>202508</v>
      </c>
      <c r="H53" s="43" t="str">
        <f aca="false">CHOOSE(F53,"Gen","Feb","Mar","Apr","Mag","Giu","Lug","Ago","Set","Ott","Nov","Dic")&amp;" "&amp;E53</f>
        <v>Ago 2025</v>
      </c>
      <c r="I53" s="43" t="n">
        <f aca="false">SUMPRODUCT(($A$2:$A$494&gt;A53)*1)+1</f>
        <v>442</v>
      </c>
      <c r="J53" s="43" t="str">
        <f aca="false">IF(G53=Supporto!$J$4,SUMPRODUCT(($G$2:$G$494=Supporto!$J$4)*($A$2:$A$494&gt;A53))+1,"")</f>
        <v/>
      </c>
    </row>
    <row r="54" customFormat="false" ht="15" hidden="false" customHeight="false" outlineLevel="0" collapsed="false">
      <c r="A54" s="39" t="n">
        <v>45882.74375</v>
      </c>
      <c r="B54" s="40" t="s">
        <v>26</v>
      </c>
      <c r="C54" s="41" t="s">
        <v>27</v>
      </c>
      <c r="D54" s="42" t="n">
        <v>33.65</v>
      </c>
      <c r="E54" s="43" t="n">
        <f aca="false">YEAR(A54)</f>
        <v>2025</v>
      </c>
      <c r="F54" s="43" t="n">
        <f aca="false">MONTH(A54)</f>
        <v>8</v>
      </c>
      <c r="G54" s="43" t="n">
        <f aca="false">E54*100+F54</f>
        <v>202508</v>
      </c>
      <c r="H54" s="43" t="str">
        <f aca="false">CHOOSE(F54,"Gen","Feb","Mar","Apr","Mag","Giu","Lug","Ago","Set","Ott","Nov","Dic")&amp;" "&amp;E54</f>
        <v>Ago 2025</v>
      </c>
      <c r="I54" s="43" t="n">
        <f aca="false">SUMPRODUCT(($A$2:$A$494&gt;A54)*1)+1</f>
        <v>441</v>
      </c>
      <c r="J54" s="43" t="str">
        <f aca="false">IF(G54=Supporto!$J$4,SUMPRODUCT(($G$2:$G$494=Supporto!$J$4)*($A$2:$A$494&gt;A54))+1,"")</f>
        <v/>
      </c>
    </row>
    <row r="55" customFormat="false" ht="15" hidden="false" customHeight="false" outlineLevel="0" collapsed="false">
      <c r="A55" s="39" t="n">
        <v>45883.5458333333</v>
      </c>
      <c r="B55" s="40" t="s">
        <v>26</v>
      </c>
      <c r="C55" s="41" t="s">
        <v>27</v>
      </c>
      <c r="D55" s="42" t="n">
        <v>10.34</v>
      </c>
      <c r="E55" s="43" t="n">
        <f aca="false">YEAR(A55)</f>
        <v>2025</v>
      </c>
      <c r="F55" s="43" t="n">
        <f aca="false">MONTH(A55)</f>
        <v>8</v>
      </c>
      <c r="G55" s="43" t="n">
        <f aca="false">E55*100+F55</f>
        <v>202508</v>
      </c>
      <c r="H55" s="43" t="str">
        <f aca="false">CHOOSE(F55,"Gen","Feb","Mar","Apr","Mag","Giu","Lug","Ago","Set","Ott","Nov","Dic")&amp;" "&amp;E55</f>
        <v>Ago 2025</v>
      </c>
      <c r="I55" s="43" t="n">
        <f aca="false">SUMPRODUCT(($A$2:$A$494&gt;A55)*1)+1</f>
        <v>440</v>
      </c>
      <c r="J55" s="43" t="str">
        <f aca="false">IF(G55=Supporto!$J$4,SUMPRODUCT(($G$2:$G$494=Supporto!$J$4)*($A$2:$A$494&gt;A55))+1,"")</f>
        <v/>
      </c>
    </row>
    <row r="56" customFormat="false" ht="15" hidden="false" customHeight="false" outlineLevel="0" collapsed="false">
      <c r="A56" s="39" t="n">
        <v>45883.8534722222</v>
      </c>
      <c r="B56" s="40" t="s">
        <v>26</v>
      </c>
      <c r="C56" s="41" t="s">
        <v>27</v>
      </c>
      <c r="D56" s="42" t="n">
        <v>29.63</v>
      </c>
      <c r="E56" s="43" t="n">
        <f aca="false">YEAR(A56)</f>
        <v>2025</v>
      </c>
      <c r="F56" s="43" t="n">
        <f aca="false">MONTH(A56)</f>
        <v>8</v>
      </c>
      <c r="G56" s="43" t="n">
        <f aca="false">E56*100+F56</f>
        <v>202508</v>
      </c>
      <c r="H56" s="43" t="str">
        <f aca="false">CHOOSE(F56,"Gen","Feb","Mar","Apr","Mag","Giu","Lug","Ago","Set","Ott","Nov","Dic")&amp;" "&amp;E56</f>
        <v>Ago 2025</v>
      </c>
      <c r="I56" s="43" t="n">
        <f aca="false">SUMPRODUCT(($A$2:$A$494&gt;A56)*1)+1</f>
        <v>439</v>
      </c>
      <c r="J56" s="43" t="str">
        <f aca="false">IF(G56=Supporto!$J$4,SUMPRODUCT(($G$2:$G$494=Supporto!$J$4)*($A$2:$A$494&gt;A56))+1,"")</f>
        <v/>
      </c>
    </row>
    <row r="57" customFormat="false" ht="15" hidden="false" customHeight="false" outlineLevel="0" collapsed="false">
      <c r="A57" s="39" t="n">
        <v>45883.9375</v>
      </c>
      <c r="B57" s="40" t="s">
        <v>33</v>
      </c>
      <c r="C57" s="41" t="s">
        <v>27</v>
      </c>
      <c r="D57" s="42" t="n">
        <v>7.43</v>
      </c>
      <c r="E57" s="43" t="n">
        <f aca="false">YEAR(A57)</f>
        <v>2025</v>
      </c>
      <c r="F57" s="43" t="n">
        <f aca="false">MONTH(A57)</f>
        <v>8</v>
      </c>
      <c r="G57" s="43" t="n">
        <f aca="false">E57*100+F57</f>
        <v>202508</v>
      </c>
      <c r="H57" s="43" t="str">
        <f aca="false">CHOOSE(F57,"Gen","Feb","Mar","Apr","Mag","Giu","Lug","Ago","Set","Ott","Nov","Dic")&amp;" "&amp;E57</f>
        <v>Ago 2025</v>
      </c>
      <c r="I57" s="43" t="n">
        <f aca="false">SUMPRODUCT(($A$2:$A$494&gt;A57)*1)+1</f>
        <v>438</v>
      </c>
      <c r="J57" s="43" t="str">
        <f aca="false">IF(G57=Supporto!$J$4,SUMPRODUCT(($G$2:$G$494=Supporto!$J$4)*($A$2:$A$494&gt;A57))+1,"")</f>
        <v/>
      </c>
    </row>
    <row r="58" customFormat="false" ht="15" hidden="false" customHeight="false" outlineLevel="0" collapsed="false">
      <c r="A58" s="39" t="n">
        <v>45886.8798611111</v>
      </c>
      <c r="B58" s="40" t="s">
        <v>28</v>
      </c>
      <c r="C58" s="41" t="s">
        <v>27</v>
      </c>
      <c r="D58" s="42" t="n">
        <v>346.96</v>
      </c>
      <c r="E58" s="43" t="n">
        <f aca="false">YEAR(A58)</f>
        <v>2025</v>
      </c>
      <c r="F58" s="43" t="n">
        <f aca="false">MONTH(A58)</f>
        <v>8</v>
      </c>
      <c r="G58" s="43" t="n">
        <f aca="false">E58*100+F58</f>
        <v>202508</v>
      </c>
      <c r="H58" s="43" t="str">
        <f aca="false">CHOOSE(F58,"Gen","Feb","Mar","Apr","Mag","Giu","Lug","Ago","Set","Ott","Nov","Dic")&amp;" "&amp;E58</f>
        <v>Ago 2025</v>
      </c>
      <c r="I58" s="43" t="n">
        <f aca="false">SUMPRODUCT(($A$2:$A$494&gt;A58)*1)+1</f>
        <v>437</v>
      </c>
      <c r="J58" s="43" t="str">
        <f aca="false">IF(G58=Supporto!$J$4,SUMPRODUCT(($G$2:$G$494=Supporto!$J$4)*($A$2:$A$494&gt;A58))+1,"")</f>
        <v/>
      </c>
    </row>
    <row r="59" customFormat="false" ht="15" hidden="false" customHeight="false" outlineLevel="0" collapsed="false">
      <c r="A59" s="39" t="n">
        <v>45888.3784722222</v>
      </c>
      <c r="B59" s="40" t="s">
        <v>29</v>
      </c>
      <c r="C59" s="41" t="s">
        <v>27</v>
      </c>
      <c r="D59" s="42" t="n">
        <v>68.05</v>
      </c>
      <c r="E59" s="43" t="n">
        <f aca="false">YEAR(A59)</f>
        <v>2025</v>
      </c>
      <c r="F59" s="43" t="n">
        <f aca="false">MONTH(A59)</f>
        <v>8</v>
      </c>
      <c r="G59" s="43" t="n">
        <f aca="false">E59*100+F59</f>
        <v>202508</v>
      </c>
      <c r="H59" s="43" t="str">
        <f aca="false">CHOOSE(F59,"Gen","Feb","Mar","Apr","Mag","Giu","Lug","Ago","Set","Ott","Nov","Dic")&amp;" "&amp;E59</f>
        <v>Ago 2025</v>
      </c>
      <c r="I59" s="43" t="n">
        <f aca="false">SUMPRODUCT(($A$2:$A$494&gt;A59)*1)+1</f>
        <v>436</v>
      </c>
      <c r="J59" s="43" t="str">
        <f aca="false">IF(G59=Supporto!$J$4,SUMPRODUCT(($G$2:$G$494=Supporto!$J$4)*($A$2:$A$494&gt;A59))+1,"")</f>
        <v/>
      </c>
    </row>
    <row r="60" customFormat="false" ht="15" hidden="false" customHeight="false" outlineLevel="0" collapsed="false">
      <c r="A60" s="39" t="n">
        <v>45888.6090277778</v>
      </c>
      <c r="B60" s="40" t="s">
        <v>36</v>
      </c>
      <c r="C60" s="41" t="s">
        <v>27</v>
      </c>
      <c r="D60" s="42" t="n">
        <v>33.74</v>
      </c>
      <c r="E60" s="43" t="n">
        <f aca="false">YEAR(A60)</f>
        <v>2025</v>
      </c>
      <c r="F60" s="43" t="n">
        <f aca="false">MONTH(A60)</f>
        <v>8</v>
      </c>
      <c r="G60" s="43" t="n">
        <f aca="false">E60*100+F60</f>
        <v>202508</v>
      </c>
      <c r="H60" s="43" t="str">
        <f aca="false">CHOOSE(F60,"Gen","Feb","Mar","Apr","Mag","Giu","Lug","Ago","Set","Ott","Nov","Dic")&amp;" "&amp;E60</f>
        <v>Ago 2025</v>
      </c>
      <c r="I60" s="43" t="n">
        <f aca="false">SUMPRODUCT(($A$2:$A$494&gt;A60)*1)+1</f>
        <v>435</v>
      </c>
      <c r="J60" s="43" t="str">
        <f aca="false">IF(G60=Supporto!$J$4,SUMPRODUCT(($G$2:$G$494=Supporto!$J$4)*($A$2:$A$494&gt;A60))+1,"")</f>
        <v/>
      </c>
    </row>
    <row r="61" customFormat="false" ht="15" hidden="false" customHeight="false" outlineLevel="0" collapsed="false">
      <c r="A61" s="39" t="n">
        <v>45888.9388888889</v>
      </c>
      <c r="B61" s="40" t="s">
        <v>35</v>
      </c>
      <c r="C61" s="41" t="s">
        <v>27</v>
      </c>
      <c r="D61" s="42" t="n">
        <v>105.01</v>
      </c>
      <c r="E61" s="43" t="n">
        <f aca="false">YEAR(A61)</f>
        <v>2025</v>
      </c>
      <c r="F61" s="43" t="n">
        <f aca="false">MONTH(A61)</f>
        <v>8</v>
      </c>
      <c r="G61" s="43" t="n">
        <f aca="false">E61*100+F61</f>
        <v>202508</v>
      </c>
      <c r="H61" s="43" t="str">
        <f aca="false">CHOOSE(F61,"Gen","Feb","Mar","Apr","Mag","Giu","Lug","Ago","Set","Ott","Nov","Dic")&amp;" "&amp;E61</f>
        <v>Ago 2025</v>
      </c>
      <c r="I61" s="43" t="n">
        <f aca="false">SUMPRODUCT(($A$2:$A$494&gt;A61)*1)+1</f>
        <v>434</v>
      </c>
      <c r="J61" s="43" t="str">
        <f aca="false">IF(G61=Supporto!$J$4,SUMPRODUCT(($G$2:$G$494=Supporto!$J$4)*($A$2:$A$494&gt;A61))+1,"")</f>
        <v/>
      </c>
    </row>
    <row r="62" customFormat="false" ht="15" hidden="false" customHeight="false" outlineLevel="0" collapsed="false">
      <c r="A62" s="39" t="n">
        <v>45889.3604166667</v>
      </c>
      <c r="B62" s="40" t="s">
        <v>36</v>
      </c>
      <c r="C62" s="41" t="s">
        <v>27</v>
      </c>
      <c r="D62" s="42" t="n">
        <v>49.82</v>
      </c>
      <c r="E62" s="43" t="n">
        <f aca="false">YEAR(A62)</f>
        <v>2025</v>
      </c>
      <c r="F62" s="43" t="n">
        <f aca="false">MONTH(A62)</f>
        <v>8</v>
      </c>
      <c r="G62" s="43" t="n">
        <f aca="false">E62*100+F62</f>
        <v>202508</v>
      </c>
      <c r="H62" s="43" t="str">
        <f aca="false">CHOOSE(F62,"Gen","Feb","Mar","Apr","Mag","Giu","Lug","Ago","Set","Ott","Nov","Dic")&amp;" "&amp;E62</f>
        <v>Ago 2025</v>
      </c>
      <c r="I62" s="43" t="n">
        <f aca="false">SUMPRODUCT(($A$2:$A$494&gt;A62)*1)+1</f>
        <v>433</v>
      </c>
      <c r="J62" s="43" t="str">
        <f aca="false">IF(G62=Supporto!$J$4,SUMPRODUCT(($G$2:$G$494=Supporto!$J$4)*($A$2:$A$494&gt;A62))+1,"")</f>
        <v/>
      </c>
    </row>
    <row r="63" customFormat="false" ht="15" hidden="false" customHeight="false" outlineLevel="0" collapsed="false">
      <c r="A63" s="39" t="n">
        <v>45890.2951388889</v>
      </c>
      <c r="B63" s="40" t="s">
        <v>33</v>
      </c>
      <c r="C63" s="41" t="s">
        <v>27</v>
      </c>
      <c r="D63" s="42" t="n">
        <v>16.51</v>
      </c>
      <c r="E63" s="43" t="n">
        <f aca="false">YEAR(A63)</f>
        <v>2025</v>
      </c>
      <c r="F63" s="43" t="n">
        <f aca="false">MONTH(A63)</f>
        <v>8</v>
      </c>
      <c r="G63" s="43" t="n">
        <f aca="false">E63*100+F63</f>
        <v>202508</v>
      </c>
      <c r="H63" s="43" t="str">
        <f aca="false">CHOOSE(F63,"Gen","Feb","Mar","Apr","Mag","Giu","Lug","Ago","Set","Ott","Nov","Dic")&amp;" "&amp;E63</f>
        <v>Ago 2025</v>
      </c>
      <c r="I63" s="43" t="n">
        <f aca="false">SUMPRODUCT(($A$2:$A$494&gt;A63)*1)+1</f>
        <v>432</v>
      </c>
      <c r="J63" s="43" t="str">
        <f aca="false">IF(G63=Supporto!$J$4,SUMPRODUCT(($G$2:$G$494=Supporto!$J$4)*($A$2:$A$494&gt;A63))+1,"")</f>
        <v/>
      </c>
    </row>
    <row r="64" customFormat="false" ht="15" hidden="false" customHeight="false" outlineLevel="0" collapsed="false">
      <c r="A64" s="39" t="n">
        <v>45890.41875</v>
      </c>
      <c r="B64" s="40" t="s">
        <v>26</v>
      </c>
      <c r="C64" s="41" t="s">
        <v>27</v>
      </c>
      <c r="D64" s="42" t="n">
        <v>12.37</v>
      </c>
      <c r="E64" s="43" t="n">
        <f aca="false">YEAR(A64)</f>
        <v>2025</v>
      </c>
      <c r="F64" s="43" t="n">
        <f aca="false">MONTH(A64)</f>
        <v>8</v>
      </c>
      <c r="G64" s="43" t="n">
        <f aca="false">E64*100+F64</f>
        <v>202508</v>
      </c>
      <c r="H64" s="43" t="str">
        <f aca="false">CHOOSE(F64,"Gen","Feb","Mar","Apr","Mag","Giu","Lug","Ago","Set","Ott","Nov","Dic")&amp;" "&amp;E64</f>
        <v>Ago 2025</v>
      </c>
      <c r="I64" s="43" t="n">
        <f aca="false">SUMPRODUCT(($A$2:$A$494&gt;A64)*1)+1</f>
        <v>431</v>
      </c>
      <c r="J64" s="43" t="str">
        <f aca="false">IF(G64=Supporto!$J$4,SUMPRODUCT(($G$2:$G$494=Supporto!$J$4)*($A$2:$A$494&gt;A64))+1,"")</f>
        <v/>
      </c>
    </row>
    <row r="65" customFormat="false" ht="15" hidden="false" customHeight="false" outlineLevel="0" collapsed="false">
      <c r="A65" s="39" t="n">
        <v>45890.7694444444</v>
      </c>
      <c r="B65" s="40" t="s">
        <v>28</v>
      </c>
      <c r="C65" s="41" t="s">
        <v>27</v>
      </c>
      <c r="D65" s="42" t="n">
        <v>69.6</v>
      </c>
      <c r="E65" s="43" t="n">
        <f aca="false">YEAR(A65)</f>
        <v>2025</v>
      </c>
      <c r="F65" s="43" t="n">
        <f aca="false">MONTH(A65)</f>
        <v>8</v>
      </c>
      <c r="G65" s="43" t="n">
        <f aca="false">E65*100+F65</f>
        <v>202508</v>
      </c>
      <c r="H65" s="43" t="str">
        <f aca="false">CHOOSE(F65,"Gen","Feb","Mar","Apr","Mag","Giu","Lug","Ago","Set","Ott","Nov","Dic")&amp;" "&amp;E65</f>
        <v>Ago 2025</v>
      </c>
      <c r="I65" s="43" t="n">
        <f aca="false">SUMPRODUCT(($A$2:$A$494&gt;A65)*1)+1</f>
        <v>430</v>
      </c>
      <c r="J65" s="43" t="str">
        <f aca="false">IF(G65=Supporto!$J$4,SUMPRODUCT(($G$2:$G$494=Supporto!$J$4)*($A$2:$A$494&gt;A65))+1,"")</f>
        <v/>
      </c>
    </row>
    <row r="66" customFormat="false" ht="15" hidden="false" customHeight="false" outlineLevel="0" collapsed="false">
      <c r="A66" s="39" t="n">
        <v>45890.7708333333</v>
      </c>
      <c r="B66" s="40" t="s">
        <v>31</v>
      </c>
      <c r="C66" s="41" t="s">
        <v>32</v>
      </c>
      <c r="D66" s="42" t="n">
        <v>96</v>
      </c>
      <c r="E66" s="43" t="n">
        <f aca="false">YEAR(A66)</f>
        <v>2025</v>
      </c>
      <c r="F66" s="43" t="n">
        <f aca="false">MONTH(A66)</f>
        <v>8</v>
      </c>
      <c r="G66" s="43" t="n">
        <f aca="false">E66*100+F66</f>
        <v>202508</v>
      </c>
      <c r="H66" s="43" t="str">
        <f aca="false">CHOOSE(F66,"Gen","Feb","Mar","Apr","Mag","Giu","Lug","Ago","Set","Ott","Nov","Dic")&amp;" "&amp;E66</f>
        <v>Ago 2025</v>
      </c>
      <c r="I66" s="43" t="n">
        <f aca="false">SUMPRODUCT(($A$2:$A$494&gt;A66)*1)+1</f>
        <v>429</v>
      </c>
      <c r="J66" s="43" t="str">
        <f aca="false">IF(G66=Supporto!$J$4,SUMPRODUCT(($G$2:$G$494=Supporto!$J$4)*($A$2:$A$494&gt;A66))+1,"")</f>
        <v/>
      </c>
    </row>
    <row r="67" customFormat="false" ht="15" hidden="false" customHeight="false" outlineLevel="0" collapsed="false">
      <c r="A67" s="39" t="n">
        <v>45892.9229166667</v>
      </c>
      <c r="B67" s="40" t="s">
        <v>39</v>
      </c>
      <c r="C67" s="41" t="s">
        <v>27</v>
      </c>
      <c r="D67" s="42" t="n">
        <v>21.36</v>
      </c>
      <c r="E67" s="43" t="n">
        <f aca="false">YEAR(A67)</f>
        <v>2025</v>
      </c>
      <c r="F67" s="43" t="n">
        <f aca="false">MONTH(A67)</f>
        <v>8</v>
      </c>
      <c r="G67" s="43" t="n">
        <f aca="false">E67*100+F67</f>
        <v>202508</v>
      </c>
      <c r="H67" s="43" t="str">
        <f aca="false">CHOOSE(F67,"Gen","Feb","Mar","Apr","Mag","Giu","Lug","Ago","Set","Ott","Nov","Dic")&amp;" "&amp;E67</f>
        <v>Ago 2025</v>
      </c>
      <c r="I67" s="43" t="n">
        <f aca="false">SUMPRODUCT(($A$2:$A$494&gt;A67)*1)+1</f>
        <v>428</v>
      </c>
      <c r="J67" s="43" t="str">
        <f aca="false">IF(G67=Supporto!$J$4,SUMPRODUCT(($G$2:$G$494=Supporto!$J$4)*($A$2:$A$494&gt;A67))+1,"")</f>
        <v/>
      </c>
    </row>
    <row r="68" customFormat="false" ht="15" hidden="false" customHeight="false" outlineLevel="0" collapsed="false">
      <c r="A68" s="39" t="n">
        <v>45893.9527777778</v>
      </c>
      <c r="B68" s="40" t="s">
        <v>29</v>
      </c>
      <c r="C68" s="41" t="s">
        <v>27</v>
      </c>
      <c r="D68" s="42" t="n">
        <v>59.77</v>
      </c>
      <c r="E68" s="43" t="n">
        <f aca="false">YEAR(A68)</f>
        <v>2025</v>
      </c>
      <c r="F68" s="43" t="n">
        <f aca="false">MONTH(A68)</f>
        <v>8</v>
      </c>
      <c r="G68" s="43" t="n">
        <f aca="false">E68*100+F68</f>
        <v>202508</v>
      </c>
      <c r="H68" s="43" t="str">
        <f aca="false">CHOOSE(F68,"Gen","Feb","Mar","Apr","Mag","Giu","Lug","Ago","Set","Ott","Nov","Dic")&amp;" "&amp;E68</f>
        <v>Ago 2025</v>
      </c>
      <c r="I68" s="43" t="n">
        <f aca="false">SUMPRODUCT(($A$2:$A$494&gt;A68)*1)+1</f>
        <v>427</v>
      </c>
      <c r="J68" s="43" t="str">
        <f aca="false">IF(G68=Supporto!$J$4,SUMPRODUCT(($G$2:$G$494=Supporto!$J$4)*($A$2:$A$494&gt;A68))+1,"")</f>
        <v/>
      </c>
    </row>
    <row r="69" customFormat="false" ht="15" hidden="false" customHeight="false" outlineLevel="0" collapsed="false">
      <c r="A69" s="39" t="n">
        <v>45894.5902777778</v>
      </c>
      <c r="B69" s="40" t="s">
        <v>33</v>
      </c>
      <c r="C69" s="41" t="s">
        <v>27</v>
      </c>
      <c r="D69" s="42" t="n">
        <v>24.37</v>
      </c>
      <c r="E69" s="43" t="n">
        <f aca="false">YEAR(A69)</f>
        <v>2025</v>
      </c>
      <c r="F69" s="43" t="n">
        <f aca="false">MONTH(A69)</f>
        <v>8</v>
      </c>
      <c r="G69" s="43" t="n">
        <f aca="false">E69*100+F69</f>
        <v>202508</v>
      </c>
      <c r="H69" s="43" t="str">
        <f aca="false">CHOOSE(F69,"Gen","Feb","Mar","Apr","Mag","Giu","Lug","Ago","Set","Ott","Nov","Dic")&amp;" "&amp;E69</f>
        <v>Ago 2025</v>
      </c>
      <c r="I69" s="43" t="n">
        <f aca="false">SUMPRODUCT(($A$2:$A$494&gt;A69)*1)+1</f>
        <v>426</v>
      </c>
      <c r="J69" s="43" t="str">
        <f aca="false">IF(G69=Supporto!$J$4,SUMPRODUCT(($G$2:$G$494=Supporto!$J$4)*($A$2:$A$494&gt;A69))+1,"")</f>
        <v/>
      </c>
    </row>
    <row r="70" customFormat="false" ht="15" hidden="false" customHeight="false" outlineLevel="0" collapsed="false">
      <c r="A70" s="39" t="n">
        <v>45895.9520833333</v>
      </c>
      <c r="B70" s="40" t="s">
        <v>26</v>
      </c>
      <c r="C70" s="41" t="s">
        <v>27</v>
      </c>
      <c r="D70" s="42" t="n">
        <v>16.71</v>
      </c>
      <c r="E70" s="43" t="n">
        <f aca="false">YEAR(A70)</f>
        <v>2025</v>
      </c>
      <c r="F70" s="43" t="n">
        <f aca="false">MONTH(A70)</f>
        <v>8</v>
      </c>
      <c r="G70" s="43" t="n">
        <f aca="false">E70*100+F70</f>
        <v>202508</v>
      </c>
      <c r="H70" s="43" t="str">
        <f aca="false">CHOOSE(F70,"Gen","Feb","Mar","Apr","Mag","Giu","Lug","Ago","Set","Ott","Nov","Dic")&amp;" "&amp;E70</f>
        <v>Ago 2025</v>
      </c>
      <c r="I70" s="43" t="n">
        <f aca="false">SUMPRODUCT(($A$2:$A$494&gt;A70)*1)+1</f>
        <v>425</v>
      </c>
      <c r="J70" s="43" t="str">
        <f aca="false">IF(G70=Supporto!$J$4,SUMPRODUCT(($G$2:$G$494=Supporto!$J$4)*($A$2:$A$494&gt;A70))+1,"")</f>
        <v/>
      </c>
    </row>
    <row r="71" customFormat="false" ht="15" hidden="false" customHeight="false" outlineLevel="0" collapsed="false">
      <c r="A71" s="39" t="n">
        <v>45896.375</v>
      </c>
      <c r="B71" s="40" t="s">
        <v>40</v>
      </c>
      <c r="C71" s="41" t="s">
        <v>32</v>
      </c>
      <c r="D71" s="42" t="n">
        <v>2432.53</v>
      </c>
      <c r="E71" s="43" t="n">
        <f aca="false">YEAR(A71)</f>
        <v>2025</v>
      </c>
      <c r="F71" s="43" t="n">
        <f aca="false">MONTH(A71)</f>
        <v>8</v>
      </c>
      <c r="G71" s="43" t="n">
        <f aca="false">E71*100+F71</f>
        <v>202508</v>
      </c>
      <c r="H71" s="43" t="str">
        <f aca="false">CHOOSE(F71,"Gen","Feb","Mar","Apr","Mag","Giu","Lug","Ago","Set","Ott","Nov","Dic")&amp;" "&amp;E71</f>
        <v>Ago 2025</v>
      </c>
      <c r="I71" s="43" t="n">
        <f aca="false">SUMPRODUCT(($A$2:$A$494&gt;A71)*1)+1</f>
        <v>424</v>
      </c>
      <c r="J71" s="43" t="str">
        <f aca="false">IF(G71=Supporto!$J$4,SUMPRODUCT(($G$2:$G$494=Supporto!$J$4)*($A$2:$A$494&gt;A71))+1,"")</f>
        <v/>
      </c>
    </row>
    <row r="72" customFormat="false" ht="15" hidden="false" customHeight="false" outlineLevel="0" collapsed="false">
      <c r="A72" s="39" t="n">
        <v>45896.3784722222</v>
      </c>
      <c r="B72" s="40" t="s">
        <v>41</v>
      </c>
      <c r="C72" s="41" t="s">
        <v>32</v>
      </c>
      <c r="D72" s="42" t="n">
        <v>2024.1</v>
      </c>
      <c r="E72" s="43" t="n">
        <f aca="false">YEAR(A72)</f>
        <v>2025</v>
      </c>
      <c r="F72" s="43" t="n">
        <f aca="false">MONTH(A72)</f>
        <v>8</v>
      </c>
      <c r="G72" s="43" t="n">
        <f aca="false">E72*100+F72</f>
        <v>202508</v>
      </c>
      <c r="H72" s="43" t="str">
        <f aca="false">CHOOSE(F72,"Gen","Feb","Mar","Apr","Mag","Giu","Lug","Ago","Set","Ott","Nov","Dic")&amp;" "&amp;E72</f>
        <v>Ago 2025</v>
      </c>
      <c r="I72" s="43" t="n">
        <f aca="false">SUMPRODUCT(($A$2:$A$494&gt;A72)*1)+1</f>
        <v>423</v>
      </c>
      <c r="J72" s="43" t="str">
        <f aca="false">IF(G72=Supporto!$J$4,SUMPRODUCT(($G$2:$G$494=Supporto!$J$4)*($A$2:$A$494&gt;A72))+1,"")</f>
        <v/>
      </c>
    </row>
    <row r="73" customFormat="false" ht="15" hidden="false" customHeight="false" outlineLevel="0" collapsed="false">
      <c r="A73" s="39" t="n">
        <v>45896.6770833333</v>
      </c>
      <c r="B73" s="40" t="s">
        <v>29</v>
      </c>
      <c r="C73" s="41" t="s">
        <v>27</v>
      </c>
      <c r="D73" s="42" t="n">
        <v>60.6</v>
      </c>
      <c r="E73" s="43" t="n">
        <f aca="false">YEAR(A73)</f>
        <v>2025</v>
      </c>
      <c r="F73" s="43" t="n">
        <f aca="false">MONTH(A73)</f>
        <v>8</v>
      </c>
      <c r="G73" s="43" t="n">
        <f aca="false">E73*100+F73</f>
        <v>202508</v>
      </c>
      <c r="H73" s="43" t="str">
        <f aca="false">CHOOSE(F73,"Gen","Feb","Mar","Apr","Mag","Giu","Lug","Ago","Set","Ott","Nov","Dic")&amp;" "&amp;E73</f>
        <v>Ago 2025</v>
      </c>
      <c r="I73" s="43" t="n">
        <f aca="false">SUMPRODUCT(($A$2:$A$494&gt;A73)*1)+1</f>
        <v>422</v>
      </c>
      <c r="J73" s="43" t="str">
        <f aca="false">IF(G73=Supporto!$J$4,SUMPRODUCT(($G$2:$G$494=Supporto!$J$4)*($A$2:$A$494&gt;A73))+1,"")</f>
        <v/>
      </c>
    </row>
    <row r="74" customFormat="false" ht="15" hidden="false" customHeight="false" outlineLevel="0" collapsed="false">
      <c r="A74" s="39" t="n">
        <v>45897.3631944444</v>
      </c>
      <c r="B74" s="40" t="s">
        <v>26</v>
      </c>
      <c r="C74" s="41" t="s">
        <v>27</v>
      </c>
      <c r="D74" s="42" t="n">
        <v>12.42</v>
      </c>
      <c r="E74" s="43" t="n">
        <f aca="false">YEAR(A74)</f>
        <v>2025</v>
      </c>
      <c r="F74" s="43" t="n">
        <f aca="false">MONTH(A74)</f>
        <v>8</v>
      </c>
      <c r="G74" s="43" t="n">
        <f aca="false">E74*100+F74</f>
        <v>202508</v>
      </c>
      <c r="H74" s="43" t="str">
        <f aca="false">CHOOSE(F74,"Gen","Feb","Mar","Apr","Mag","Giu","Lug","Ago","Set","Ott","Nov","Dic")&amp;" "&amp;E74</f>
        <v>Ago 2025</v>
      </c>
      <c r="I74" s="43" t="n">
        <f aca="false">SUMPRODUCT(($A$2:$A$494&gt;A74)*1)+1</f>
        <v>421</v>
      </c>
      <c r="J74" s="43" t="str">
        <f aca="false">IF(G74=Supporto!$J$4,SUMPRODUCT(($G$2:$G$494=Supporto!$J$4)*($A$2:$A$494&gt;A74))+1,"")</f>
        <v/>
      </c>
    </row>
    <row r="75" customFormat="false" ht="15" hidden="false" customHeight="false" outlineLevel="0" collapsed="false">
      <c r="A75" s="39" t="n">
        <v>45897.41875</v>
      </c>
      <c r="B75" s="40" t="s">
        <v>33</v>
      </c>
      <c r="C75" s="41" t="s">
        <v>27</v>
      </c>
      <c r="D75" s="42" t="n">
        <v>3</v>
      </c>
      <c r="E75" s="43" t="n">
        <f aca="false">YEAR(A75)</f>
        <v>2025</v>
      </c>
      <c r="F75" s="43" t="n">
        <f aca="false">MONTH(A75)</f>
        <v>8</v>
      </c>
      <c r="G75" s="43" t="n">
        <f aca="false">E75*100+F75</f>
        <v>202508</v>
      </c>
      <c r="H75" s="43" t="str">
        <f aca="false">CHOOSE(F75,"Gen","Feb","Mar","Apr","Mag","Giu","Lug","Ago","Set","Ott","Nov","Dic")&amp;" "&amp;E75</f>
        <v>Ago 2025</v>
      </c>
      <c r="I75" s="43" t="n">
        <f aca="false">SUMPRODUCT(($A$2:$A$494&gt;A75)*1)+1</f>
        <v>420</v>
      </c>
      <c r="J75" s="43" t="str">
        <f aca="false">IF(G75=Supporto!$J$4,SUMPRODUCT(($G$2:$G$494=Supporto!$J$4)*($A$2:$A$494&gt;A75))+1,"")</f>
        <v/>
      </c>
    </row>
    <row r="76" customFormat="false" ht="15" hidden="false" customHeight="false" outlineLevel="0" collapsed="false">
      <c r="A76" s="39" t="n">
        <v>45897.4270833333</v>
      </c>
      <c r="B76" s="40" t="s">
        <v>26</v>
      </c>
      <c r="C76" s="41" t="s">
        <v>27</v>
      </c>
      <c r="D76" s="42" t="n">
        <v>8.14</v>
      </c>
      <c r="E76" s="43" t="n">
        <f aca="false">YEAR(A76)</f>
        <v>2025</v>
      </c>
      <c r="F76" s="43" t="n">
        <f aca="false">MONTH(A76)</f>
        <v>8</v>
      </c>
      <c r="G76" s="43" t="n">
        <f aca="false">E76*100+F76</f>
        <v>202508</v>
      </c>
      <c r="H76" s="43" t="str">
        <f aca="false">CHOOSE(F76,"Gen","Feb","Mar","Apr","Mag","Giu","Lug","Ago","Set","Ott","Nov","Dic")&amp;" "&amp;E76</f>
        <v>Ago 2025</v>
      </c>
      <c r="I76" s="43" t="n">
        <f aca="false">SUMPRODUCT(($A$2:$A$494&gt;A76)*1)+1</f>
        <v>419</v>
      </c>
      <c r="J76" s="43" t="str">
        <f aca="false">IF(G76=Supporto!$J$4,SUMPRODUCT(($G$2:$G$494=Supporto!$J$4)*($A$2:$A$494&gt;A76))+1,"")</f>
        <v/>
      </c>
    </row>
    <row r="77" customFormat="false" ht="15" hidden="false" customHeight="false" outlineLevel="0" collapsed="false">
      <c r="A77" s="39" t="n">
        <v>45897.5020833333</v>
      </c>
      <c r="B77" s="40" t="s">
        <v>35</v>
      </c>
      <c r="C77" s="41" t="s">
        <v>27</v>
      </c>
      <c r="D77" s="42" t="n">
        <v>41.12</v>
      </c>
      <c r="E77" s="43" t="n">
        <f aca="false">YEAR(A77)</f>
        <v>2025</v>
      </c>
      <c r="F77" s="43" t="n">
        <f aca="false">MONTH(A77)</f>
        <v>8</v>
      </c>
      <c r="G77" s="43" t="n">
        <f aca="false">E77*100+F77</f>
        <v>202508</v>
      </c>
      <c r="H77" s="43" t="str">
        <f aca="false">CHOOSE(F77,"Gen","Feb","Mar","Apr","Mag","Giu","Lug","Ago","Set","Ott","Nov","Dic")&amp;" "&amp;E77</f>
        <v>Ago 2025</v>
      </c>
      <c r="I77" s="43" t="n">
        <f aca="false">SUMPRODUCT(($A$2:$A$494&gt;A77)*1)+1</f>
        <v>418</v>
      </c>
      <c r="J77" s="43" t="str">
        <f aca="false">IF(G77=Supporto!$J$4,SUMPRODUCT(($G$2:$G$494=Supporto!$J$4)*($A$2:$A$494&gt;A77))+1,"")</f>
        <v/>
      </c>
    </row>
    <row r="78" customFormat="false" ht="15" hidden="false" customHeight="false" outlineLevel="0" collapsed="false">
      <c r="A78" s="39" t="n">
        <v>45897.5027777778</v>
      </c>
      <c r="B78" s="40" t="s">
        <v>38</v>
      </c>
      <c r="C78" s="41" t="s">
        <v>27</v>
      </c>
      <c r="D78" s="42" t="n">
        <v>108.43</v>
      </c>
      <c r="E78" s="43" t="n">
        <f aca="false">YEAR(A78)</f>
        <v>2025</v>
      </c>
      <c r="F78" s="43" t="n">
        <f aca="false">MONTH(A78)</f>
        <v>8</v>
      </c>
      <c r="G78" s="43" t="n">
        <f aca="false">E78*100+F78</f>
        <v>202508</v>
      </c>
      <c r="H78" s="43" t="str">
        <f aca="false">CHOOSE(F78,"Gen","Feb","Mar","Apr","Mag","Giu","Lug","Ago","Set","Ott","Nov","Dic")&amp;" "&amp;E78</f>
        <v>Ago 2025</v>
      </c>
      <c r="I78" s="43" t="n">
        <f aca="false">SUMPRODUCT(($A$2:$A$494&gt;A78)*1)+1</f>
        <v>417</v>
      </c>
      <c r="J78" s="43" t="str">
        <f aca="false">IF(G78=Supporto!$J$4,SUMPRODUCT(($G$2:$G$494=Supporto!$J$4)*($A$2:$A$494&gt;A78))+1,"")</f>
        <v/>
      </c>
    </row>
    <row r="79" customFormat="false" ht="15" hidden="false" customHeight="false" outlineLevel="0" collapsed="false">
      <c r="A79" s="39" t="n">
        <v>45901.4194444444</v>
      </c>
      <c r="B79" s="40" t="s">
        <v>26</v>
      </c>
      <c r="C79" s="41" t="s">
        <v>27</v>
      </c>
      <c r="D79" s="42" t="n">
        <v>15.5</v>
      </c>
      <c r="E79" s="43" t="n">
        <f aca="false">YEAR(A79)</f>
        <v>2025</v>
      </c>
      <c r="F79" s="43" t="n">
        <f aca="false">MONTH(A79)</f>
        <v>9</v>
      </c>
      <c r="G79" s="43" t="n">
        <f aca="false">E79*100+F79</f>
        <v>202509</v>
      </c>
      <c r="H79" s="43" t="str">
        <f aca="false">CHOOSE(F79,"Gen","Feb","Mar","Apr","Mag","Giu","Lug","Ago","Set","Ott","Nov","Dic")&amp;" "&amp;E79</f>
        <v>Set 2025</v>
      </c>
      <c r="I79" s="43" t="n">
        <f aca="false">SUMPRODUCT(($A$2:$A$494&gt;A79)*1)+1</f>
        <v>416</v>
      </c>
      <c r="J79" s="43" t="str">
        <f aca="false">IF(G79=Supporto!$J$4,SUMPRODUCT(($G$2:$G$494=Supporto!$J$4)*($A$2:$A$494&gt;A79))+1,"")</f>
        <v/>
      </c>
    </row>
    <row r="80" customFormat="false" ht="15" hidden="false" customHeight="false" outlineLevel="0" collapsed="false">
      <c r="A80" s="39" t="n">
        <v>45901.7423611111</v>
      </c>
      <c r="B80" s="40" t="s">
        <v>26</v>
      </c>
      <c r="C80" s="41" t="s">
        <v>27</v>
      </c>
      <c r="D80" s="42" t="n">
        <v>33.81</v>
      </c>
      <c r="E80" s="43" t="n">
        <f aca="false">YEAR(A80)</f>
        <v>2025</v>
      </c>
      <c r="F80" s="43" t="n">
        <f aca="false">MONTH(A80)</f>
        <v>9</v>
      </c>
      <c r="G80" s="43" t="n">
        <f aca="false">E80*100+F80</f>
        <v>202509</v>
      </c>
      <c r="H80" s="43" t="str">
        <f aca="false">CHOOSE(F80,"Gen","Feb","Mar","Apr","Mag","Giu","Lug","Ago","Set","Ott","Nov","Dic")&amp;" "&amp;E80</f>
        <v>Set 2025</v>
      </c>
      <c r="I80" s="43" t="n">
        <f aca="false">SUMPRODUCT(($A$2:$A$494&gt;A80)*1)+1</f>
        <v>415</v>
      </c>
      <c r="J80" s="43" t="str">
        <f aca="false">IF(G80=Supporto!$J$4,SUMPRODUCT(($G$2:$G$494=Supporto!$J$4)*($A$2:$A$494&gt;A80))+1,"")</f>
        <v/>
      </c>
    </row>
    <row r="81" customFormat="false" ht="15" hidden="false" customHeight="false" outlineLevel="0" collapsed="false">
      <c r="A81" s="39" t="n">
        <v>45904.6326388889</v>
      </c>
      <c r="B81" s="40" t="s">
        <v>36</v>
      </c>
      <c r="C81" s="41" t="s">
        <v>27</v>
      </c>
      <c r="D81" s="42" t="n">
        <v>17.06</v>
      </c>
      <c r="E81" s="43" t="n">
        <f aca="false">YEAR(A81)</f>
        <v>2025</v>
      </c>
      <c r="F81" s="43" t="n">
        <f aca="false">MONTH(A81)</f>
        <v>9</v>
      </c>
      <c r="G81" s="43" t="n">
        <f aca="false">E81*100+F81</f>
        <v>202509</v>
      </c>
      <c r="H81" s="43" t="str">
        <f aca="false">CHOOSE(F81,"Gen","Feb","Mar","Apr","Mag","Giu","Lug","Ago","Set","Ott","Nov","Dic")&amp;" "&amp;E81</f>
        <v>Set 2025</v>
      </c>
      <c r="I81" s="43" t="n">
        <f aca="false">SUMPRODUCT(($A$2:$A$494&gt;A81)*1)+1</f>
        <v>414</v>
      </c>
      <c r="J81" s="43" t="str">
        <f aca="false">IF(G81=Supporto!$J$4,SUMPRODUCT(($G$2:$G$494=Supporto!$J$4)*($A$2:$A$494&gt;A81))+1,"")</f>
        <v/>
      </c>
    </row>
    <row r="82" customFormat="false" ht="15" hidden="false" customHeight="false" outlineLevel="0" collapsed="false">
      <c r="A82" s="39" t="n">
        <v>45905.3465277778</v>
      </c>
      <c r="B82" s="40" t="s">
        <v>33</v>
      </c>
      <c r="C82" s="41" t="s">
        <v>27</v>
      </c>
      <c r="D82" s="42" t="n">
        <v>38.87</v>
      </c>
      <c r="E82" s="43" t="n">
        <f aca="false">YEAR(A82)</f>
        <v>2025</v>
      </c>
      <c r="F82" s="43" t="n">
        <f aca="false">MONTH(A82)</f>
        <v>9</v>
      </c>
      <c r="G82" s="43" t="n">
        <f aca="false">E82*100+F82</f>
        <v>202509</v>
      </c>
      <c r="H82" s="43" t="str">
        <f aca="false">CHOOSE(F82,"Gen","Feb","Mar","Apr","Mag","Giu","Lug","Ago","Set","Ott","Nov","Dic")&amp;" "&amp;E82</f>
        <v>Set 2025</v>
      </c>
      <c r="I82" s="43" t="n">
        <f aca="false">SUMPRODUCT(($A$2:$A$494&gt;A82)*1)+1</f>
        <v>413</v>
      </c>
      <c r="J82" s="43" t="str">
        <f aca="false">IF(G82=Supporto!$J$4,SUMPRODUCT(($G$2:$G$494=Supporto!$J$4)*($A$2:$A$494&gt;A82))+1,"")</f>
        <v/>
      </c>
    </row>
    <row r="83" customFormat="false" ht="15" hidden="false" customHeight="false" outlineLevel="0" collapsed="false">
      <c r="A83" s="39" t="n">
        <v>45905.6319444445</v>
      </c>
      <c r="B83" s="40" t="s">
        <v>26</v>
      </c>
      <c r="C83" s="41" t="s">
        <v>27</v>
      </c>
      <c r="D83" s="42" t="n">
        <v>42.92</v>
      </c>
      <c r="E83" s="43" t="n">
        <f aca="false">YEAR(A83)</f>
        <v>2025</v>
      </c>
      <c r="F83" s="43" t="n">
        <f aca="false">MONTH(A83)</f>
        <v>9</v>
      </c>
      <c r="G83" s="43" t="n">
        <f aca="false">E83*100+F83</f>
        <v>202509</v>
      </c>
      <c r="H83" s="43" t="str">
        <f aca="false">CHOOSE(F83,"Gen","Feb","Mar","Apr","Mag","Giu","Lug","Ago","Set","Ott","Nov","Dic")&amp;" "&amp;E83</f>
        <v>Set 2025</v>
      </c>
      <c r="I83" s="43" t="n">
        <f aca="false">SUMPRODUCT(($A$2:$A$494&gt;A83)*1)+1</f>
        <v>412</v>
      </c>
      <c r="J83" s="43" t="str">
        <f aca="false">IF(G83=Supporto!$J$4,SUMPRODUCT(($G$2:$G$494=Supporto!$J$4)*($A$2:$A$494&gt;A83))+1,"")</f>
        <v/>
      </c>
    </row>
    <row r="84" customFormat="false" ht="15" hidden="false" customHeight="false" outlineLevel="0" collapsed="false">
      <c r="A84" s="39" t="n">
        <v>45905.6375</v>
      </c>
      <c r="B84" s="40" t="s">
        <v>34</v>
      </c>
      <c r="C84" s="41" t="s">
        <v>27</v>
      </c>
      <c r="D84" s="42" t="n">
        <v>75.79</v>
      </c>
      <c r="E84" s="43" t="n">
        <f aca="false">YEAR(A84)</f>
        <v>2025</v>
      </c>
      <c r="F84" s="43" t="n">
        <f aca="false">MONTH(A84)</f>
        <v>9</v>
      </c>
      <c r="G84" s="43" t="n">
        <f aca="false">E84*100+F84</f>
        <v>202509</v>
      </c>
      <c r="H84" s="43" t="str">
        <f aca="false">CHOOSE(F84,"Gen","Feb","Mar","Apr","Mag","Giu","Lug","Ago","Set","Ott","Nov","Dic")&amp;" "&amp;E84</f>
        <v>Set 2025</v>
      </c>
      <c r="I84" s="43" t="n">
        <f aca="false">SUMPRODUCT(($A$2:$A$494&gt;A84)*1)+1</f>
        <v>411</v>
      </c>
      <c r="J84" s="43" t="str">
        <f aca="false">IF(G84=Supporto!$J$4,SUMPRODUCT(($G$2:$G$494=Supporto!$J$4)*($A$2:$A$494&gt;A84))+1,"")</f>
        <v/>
      </c>
    </row>
    <row r="85" customFormat="false" ht="15" hidden="false" customHeight="false" outlineLevel="0" collapsed="false">
      <c r="A85" s="39" t="n">
        <v>45906.9118055556</v>
      </c>
      <c r="B85" s="40" t="s">
        <v>29</v>
      </c>
      <c r="C85" s="41" t="s">
        <v>27</v>
      </c>
      <c r="D85" s="42" t="n">
        <v>122.87</v>
      </c>
      <c r="E85" s="43" t="n">
        <f aca="false">YEAR(A85)</f>
        <v>2025</v>
      </c>
      <c r="F85" s="43" t="n">
        <f aca="false">MONTH(A85)</f>
        <v>9</v>
      </c>
      <c r="G85" s="43" t="n">
        <f aca="false">E85*100+F85</f>
        <v>202509</v>
      </c>
      <c r="H85" s="43" t="str">
        <f aca="false">CHOOSE(F85,"Gen","Feb","Mar","Apr","Mag","Giu","Lug","Ago","Set","Ott","Nov","Dic")&amp;" "&amp;E85</f>
        <v>Set 2025</v>
      </c>
      <c r="I85" s="43" t="n">
        <f aca="false">SUMPRODUCT(($A$2:$A$494&gt;A85)*1)+1</f>
        <v>410</v>
      </c>
      <c r="J85" s="43" t="str">
        <f aca="false">IF(G85=Supporto!$J$4,SUMPRODUCT(($G$2:$G$494=Supporto!$J$4)*($A$2:$A$494&gt;A85))+1,"")</f>
        <v/>
      </c>
    </row>
    <row r="86" customFormat="false" ht="15" hidden="false" customHeight="false" outlineLevel="0" collapsed="false">
      <c r="A86" s="39" t="n">
        <v>45907.8902777778</v>
      </c>
      <c r="B86" s="40" t="s">
        <v>35</v>
      </c>
      <c r="C86" s="41" t="s">
        <v>27</v>
      </c>
      <c r="D86" s="42" t="n">
        <v>32.31</v>
      </c>
      <c r="E86" s="43" t="n">
        <f aca="false">YEAR(A86)</f>
        <v>2025</v>
      </c>
      <c r="F86" s="43" t="n">
        <f aca="false">MONTH(A86)</f>
        <v>9</v>
      </c>
      <c r="G86" s="43" t="n">
        <f aca="false">E86*100+F86</f>
        <v>202509</v>
      </c>
      <c r="H86" s="43" t="str">
        <f aca="false">CHOOSE(F86,"Gen","Feb","Mar","Apr","Mag","Giu","Lug","Ago","Set","Ott","Nov","Dic")&amp;" "&amp;E86</f>
        <v>Set 2025</v>
      </c>
      <c r="I86" s="43" t="n">
        <f aca="false">SUMPRODUCT(($A$2:$A$494&gt;A86)*1)+1</f>
        <v>409</v>
      </c>
      <c r="J86" s="43" t="str">
        <f aca="false">IF(G86=Supporto!$J$4,SUMPRODUCT(($G$2:$G$494=Supporto!$J$4)*($A$2:$A$494&gt;A86))+1,"")</f>
        <v/>
      </c>
    </row>
    <row r="87" customFormat="false" ht="15" hidden="false" customHeight="false" outlineLevel="0" collapsed="false">
      <c r="A87" s="39" t="n">
        <v>45908.5354166667</v>
      </c>
      <c r="B87" s="40" t="s">
        <v>30</v>
      </c>
      <c r="C87" s="41" t="s">
        <v>27</v>
      </c>
      <c r="D87" s="42" t="n">
        <v>47.23</v>
      </c>
      <c r="E87" s="43" t="n">
        <f aca="false">YEAR(A87)</f>
        <v>2025</v>
      </c>
      <c r="F87" s="43" t="n">
        <f aca="false">MONTH(A87)</f>
        <v>9</v>
      </c>
      <c r="G87" s="43" t="n">
        <f aca="false">E87*100+F87</f>
        <v>202509</v>
      </c>
      <c r="H87" s="43" t="str">
        <f aca="false">CHOOSE(F87,"Gen","Feb","Mar","Apr","Mag","Giu","Lug","Ago","Set","Ott","Nov","Dic")&amp;" "&amp;E87</f>
        <v>Set 2025</v>
      </c>
      <c r="I87" s="43" t="n">
        <f aca="false">SUMPRODUCT(($A$2:$A$494&gt;A87)*1)+1</f>
        <v>408</v>
      </c>
      <c r="J87" s="43" t="str">
        <f aca="false">IF(G87=Supporto!$J$4,SUMPRODUCT(($G$2:$G$494=Supporto!$J$4)*($A$2:$A$494&gt;A87))+1,"")</f>
        <v/>
      </c>
    </row>
    <row r="88" customFormat="false" ht="15" hidden="false" customHeight="false" outlineLevel="0" collapsed="false">
      <c r="A88" s="39" t="n">
        <v>45908.7625</v>
      </c>
      <c r="B88" s="40" t="s">
        <v>29</v>
      </c>
      <c r="C88" s="41" t="s">
        <v>27</v>
      </c>
      <c r="D88" s="42" t="n">
        <v>39.7</v>
      </c>
      <c r="E88" s="43" t="n">
        <f aca="false">YEAR(A88)</f>
        <v>2025</v>
      </c>
      <c r="F88" s="43" t="n">
        <f aca="false">MONTH(A88)</f>
        <v>9</v>
      </c>
      <c r="G88" s="43" t="n">
        <f aca="false">E88*100+F88</f>
        <v>202509</v>
      </c>
      <c r="H88" s="43" t="str">
        <f aca="false">CHOOSE(F88,"Gen","Feb","Mar","Apr","Mag","Giu","Lug","Ago","Set","Ott","Nov","Dic")&amp;" "&amp;E88</f>
        <v>Set 2025</v>
      </c>
      <c r="I88" s="43" t="n">
        <f aca="false">SUMPRODUCT(($A$2:$A$494&gt;A88)*1)+1</f>
        <v>407</v>
      </c>
      <c r="J88" s="43" t="str">
        <f aca="false">IF(G88=Supporto!$J$4,SUMPRODUCT(($G$2:$G$494=Supporto!$J$4)*($A$2:$A$494&gt;A88))+1,"")</f>
        <v/>
      </c>
    </row>
    <row r="89" customFormat="false" ht="15" hidden="false" customHeight="false" outlineLevel="0" collapsed="false">
      <c r="A89" s="39" t="n">
        <v>45909.4993055556</v>
      </c>
      <c r="B89" s="40" t="s">
        <v>29</v>
      </c>
      <c r="C89" s="41" t="s">
        <v>27</v>
      </c>
      <c r="D89" s="42" t="n">
        <v>8.01</v>
      </c>
      <c r="E89" s="43" t="n">
        <f aca="false">YEAR(A89)</f>
        <v>2025</v>
      </c>
      <c r="F89" s="43" t="n">
        <f aca="false">MONTH(A89)</f>
        <v>9</v>
      </c>
      <c r="G89" s="43" t="n">
        <f aca="false">E89*100+F89</f>
        <v>202509</v>
      </c>
      <c r="H89" s="43" t="str">
        <f aca="false">CHOOSE(F89,"Gen","Feb","Mar","Apr","Mag","Giu","Lug","Ago","Set","Ott","Nov","Dic")&amp;" "&amp;E89</f>
        <v>Set 2025</v>
      </c>
      <c r="I89" s="43" t="n">
        <f aca="false">SUMPRODUCT(($A$2:$A$494&gt;A89)*1)+1</f>
        <v>406</v>
      </c>
      <c r="J89" s="43" t="str">
        <f aca="false">IF(G89=Supporto!$J$4,SUMPRODUCT(($G$2:$G$494=Supporto!$J$4)*($A$2:$A$494&gt;A89))+1,"")</f>
        <v/>
      </c>
    </row>
    <row r="90" customFormat="false" ht="15" hidden="false" customHeight="false" outlineLevel="0" collapsed="false">
      <c r="A90" s="39" t="n">
        <v>45910.5930555556</v>
      </c>
      <c r="B90" s="40" t="s">
        <v>35</v>
      </c>
      <c r="C90" s="41" t="s">
        <v>27</v>
      </c>
      <c r="D90" s="42" t="n">
        <v>5.41</v>
      </c>
      <c r="E90" s="43" t="n">
        <f aca="false">YEAR(A90)</f>
        <v>2025</v>
      </c>
      <c r="F90" s="43" t="n">
        <f aca="false">MONTH(A90)</f>
        <v>9</v>
      </c>
      <c r="G90" s="43" t="n">
        <f aca="false">E90*100+F90</f>
        <v>202509</v>
      </c>
      <c r="H90" s="43" t="str">
        <f aca="false">CHOOSE(F90,"Gen","Feb","Mar","Apr","Mag","Giu","Lug","Ago","Set","Ott","Nov","Dic")&amp;" "&amp;E90</f>
        <v>Set 2025</v>
      </c>
      <c r="I90" s="43" t="n">
        <f aca="false">SUMPRODUCT(($A$2:$A$494&gt;A90)*1)+1</f>
        <v>405</v>
      </c>
      <c r="J90" s="43" t="str">
        <f aca="false">IF(G90=Supporto!$J$4,SUMPRODUCT(($G$2:$G$494=Supporto!$J$4)*($A$2:$A$494&gt;A90))+1,"")</f>
        <v/>
      </c>
    </row>
    <row r="91" customFormat="false" ht="15" hidden="false" customHeight="false" outlineLevel="0" collapsed="false">
      <c r="A91" s="39" t="n">
        <v>45911.5715277778</v>
      </c>
      <c r="B91" s="40" t="s">
        <v>34</v>
      </c>
      <c r="C91" s="41" t="s">
        <v>27</v>
      </c>
      <c r="D91" s="42" t="n">
        <v>11.26</v>
      </c>
      <c r="E91" s="43" t="n">
        <f aca="false">YEAR(A91)</f>
        <v>2025</v>
      </c>
      <c r="F91" s="43" t="n">
        <f aca="false">MONTH(A91)</f>
        <v>9</v>
      </c>
      <c r="G91" s="43" t="n">
        <f aca="false">E91*100+F91</f>
        <v>202509</v>
      </c>
      <c r="H91" s="43" t="str">
        <f aca="false">CHOOSE(F91,"Gen","Feb","Mar","Apr","Mag","Giu","Lug","Ago","Set","Ott","Nov","Dic")&amp;" "&amp;E91</f>
        <v>Set 2025</v>
      </c>
      <c r="I91" s="43" t="n">
        <f aca="false">SUMPRODUCT(($A$2:$A$494&gt;A91)*1)+1</f>
        <v>404</v>
      </c>
      <c r="J91" s="43" t="str">
        <f aca="false">IF(G91=Supporto!$J$4,SUMPRODUCT(($G$2:$G$494=Supporto!$J$4)*($A$2:$A$494&gt;A91))+1,"")</f>
        <v/>
      </c>
    </row>
    <row r="92" customFormat="false" ht="15" hidden="false" customHeight="false" outlineLevel="0" collapsed="false">
      <c r="A92" s="39" t="n">
        <v>45912.3729166667</v>
      </c>
      <c r="B92" s="40" t="s">
        <v>33</v>
      </c>
      <c r="C92" s="41" t="s">
        <v>27</v>
      </c>
      <c r="D92" s="42" t="n">
        <v>22.25</v>
      </c>
      <c r="E92" s="43" t="n">
        <f aca="false">YEAR(A92)</f>
        <v>2025</v>
      </c>
      <c r="F92" s="43" t="n">
        <f aca="false">MONTH(A92)</f>
        <v>9</v>
      </c>
      <c r="G92" s="43" t="n">
        <f aca="false">E92*100+F92</f>
        <v>202509</v>
      </c>
      <c r="H92" s="43" t="str">
        <f aca="false">CHOOSE(F92,"Gen","Feb","Mar","Apr","Mag","Giu","Lug","Ago","Set","Ott","Nov","Dic")&amp;" "&amp;E92</f>
        <v>Set 2025</v>
      </c>
      <c r="I92" s="43" t="n">
        <f aca="false">SUMPRODUCT(($A$2:$A$494&gt;A92)*1)+1</f>
        <v>403</v>
      </c>
      <c r="J92" s="43" t="str">
        <f aca="false">IF(G92=Supporto!$J$4,SUMPRODUCT(($G$2:$G$494=Supporto!$J$4)*($A$2:$A$494&gt;A92))+1,"")</f>
        <v/>
      </c>
    </row>
    <row r="93" customFormat="false" ht="15" hidden="false" customHeight="false" outlineLevel="0" collapsed="false">
      <c r="A93" s="39" t="n">
        <v>45912.4138888889</v>
      </c>
      <c r="B93" s="40" t="s">
        <v>29</v>
      </c>
      <c r="C93" s="41" t="s">
        <v>27</v>
      </c>
      <c r="D93" s="42" t="n">
        <v>176.03</v>
      </c>
      <c r="E93" s="43" t="n">
        <f aca="false">YEAR(A93)</f>
        <v>2025</v>
      </c>
      <c r="F93" s="43" t="n">
        <f aca="false">MONTH(A93)</f>
        <v>9</v>
      </c>
      <c r="G93" s="43" t="n">
        <f aca="false">E93*100+F93</f>
        <v>202509</v>
      </c>
      <c r="H93" s="43" t="str">
        <f aca="false">CHOOSE(F93,"Gen","Feb","Mar","Apr","Mag","Giu","Lug","Ago","Set","Ott","Nov","Dic")&amp;" "&amp;E93</f>
        <v>Set 2025</v>
      </c>
      <c r="I93" s="43" t="n">
        <f aca="false">SUMPRODUCT(($A$2:$A$494&gt;A93)*1)+1</f>
        <v>402</v>
      </c>
      <c r="J93" s="43" t="str">
        <f aca="false">IF(G93=Supporto!$J$4,SUMPRODUCT(($G$2:$G$494=Supporto!$J$4)*($A$2:$A$494&gt;A93))+1,"")</f>
        <v/>
      </c>
    </row>
    <row r="94" customFormat="false" ht="15" hidden="false" customHeight="false" outlineLevel="0" collapsed="false">
      <c r="A94" s="39" t="n">
        <v>45913.7201388889</v>
      </c>
      <c r="B94" s="40" t="s">
        <v>38</v>
      </c>
      <c r="C94" s="41" t="s">
        <v>27</v>
      </c>
      <c r="D94" s="42" t="n">
        <v>70.95</v>
      </c>
      <c r="E94" s="43" t="n">
        <f aca="false">YEAR(A94)</f>
        <v>2025</v>
      </c>
      <c r="F94" s="43" t="n">
        <f aca="false">MONTH(A94)</f>
        <v>9</v>
      </c>
      <c r="G94" s="43" t="n">
        <f aca="false">E94*100+F94</f>
        <v>202509</v>
      </c>
      <c r="H94" s="43" t="str">
        <f aca="false">CHOOSE(F94,"Gen","Feb","Mar","Apr","Mag","Giu","Lug","Ago","Set","Ott","Nov","Dic")&amp;" "&amp;E94</f>
        <v>Set 2025</v>
      </c>
      <c r="I94" s="43" t="n">
        <f aca="false">SUMPRODUCT(($A$2:$A$494&gt;A94)*1)+1</f>
        <v>401</v>
      </c>
      <c r="J94" s="43" t="str">
        <f aca="false">IF(G94=Supporto!$J$4,SUMPRODUCT(($G$2:$G$494=Supporto!$J$4)*($A$2:$A$494&gt;A94))+1,"")</f>
        <v/>
      </c>
    </row>
    <row r="95" customFormat="false" ht="15" hidden="false" customHeight="false" outlineLevel="0" collapsed="false">
      <c r="A95" s="39" t="n">
        <v>45914.5951388889</v>
      </c>
      <c r="B95" s="40" t="s">
        <v>39</v>
      </c>
      <c r="C95" s="41" t="s">
        <v>27</v>
      </c>
      <c r="D95" s="42" t="n">
        <v>74.85</v>
      </c>
      <c r="E95" s="43" t="n">
        <f aca="false">YEAR(A95)</f>
        <v>2025</v>
      </c>
      <c r="F95" s="43" t="n">
        <f aca="false">MONTH(A95)</f>
        <v>9</v>
      </c>
      <c r="G95" s="43" t="n">
        <f aca="false">E95*100+F95</f>
        <v>202509</v>
      </c>
      <c r="H95" s="43" t="str">
        <f aca="false">CHOOSE(F95,"Gen","Feb","Mar","Apr","Mag","Giu","Lug","Ago","Set","Ott","Nov","Dic")&amp;" "&amp;E95</f>
        <v>Set 2025</v>
      </c>
      <c r="I95" s="43" t="n">
        <f aca="false">SUMPRODUCT(($A$2:$A$494&gt;A95)*1)+1</f>
        <v>400</v>
      </c>
      <c r="J95" s="43" t="str">
        <f aca="false">IF(G95=Supporto!$J$4,SUMPRODUCT(($G$2:$G$494=Supporto!$J$4)*($A$2:$A$494&gt;A95))+1,"")</f>
        <v/>
      </c>
    </row>
    <row r="96" customFormat="false" ht="15" hidden="false" customHeight="false" outlineLevel="0" collapsed="false">
      <c r="A96" s="39" t="n">
        <v>45915.4194444444</v>
      </c>
      <c r="B96" s="40" t="s">
        <v>29</v>
      </c>
      <c r="C96" s="41" t="s">
        <v>27</v>
      </c>
      <c r="D96" s="42" t="n">
        <v>35.92</v>
      </c>
      <c r="E96" s="43" t="n">
        <f aca="false">YEAR(A96)</f>
        <v>2025</v>
      </c>
      <c r="F96" s="43" t="n">
        <f aca="false">MONTH(A96)</f>
        <v>9</v>
      </c>
      <c r="G96" s="43" t="n">
        <f aca="false">E96*100+F96</f>
        <v>202509</v>
      </c>
      <c r="H96" s="43" t="str">
        <f aca="false">CHOOSE(F96,"Gen","Feb","Mar","Apr","Mag","Giu","Lug","Ago","Set","Ott","Nov","Dic")&amp;" "&amp;E96</f>
        <v>Set 2025</v>
      </c>
      <c r="I96" s="43" t="n">
        <f aca="false">SUMPRODUCT(($A$2:$A$494&gt;A96)*1)+1</f>
        <v>399</v>
      </c>
      <c r="J96" s="43" t="str">
        <f aca="false">IF(G96=Supporto!$J$4,SUMPRODUCT(($G$2:$G$494=Supporto!$J$4)*($A$2:$A$494&gt;A96))+1,"")</f>
        <v/>
      </c>
    </row>
    <row r="97" customFormat="false" ht="15" hidden="false" customHeight="false" outlineLevel="0" collapsed="false">
      <c r="A97" s="39" t="n">
        <v>45918.5638888889</v>
      </c>
      <c r="B97" s="40" t="s">
        <v>29</v>
      </c>
      <c r="C97" s="41" t="s">
        <v>27</v>
      </c>
      <c r="D97" s="42" t="n">
        <v>112.62</v>
      </c>
      <c r="E97" s="43" t="n">
        <f aca="false">YEAR(A97)</f>
        <v>2025</v>
      </c>
      <c r="F97" s="43" t="n">
        <f aca="false">MONTH(A97)</f>
        <v>9</v>
      </c>
      <c r="G97" s="43" t="n">
        <f aca="false">E97*100+F97</f>
        <v>202509</v>
      </c>
      <c r="H97" s="43" t="str">
        <f aca="false">CHOOSE(F97,"Gen","Feb","Mar","Apr","Mag","Giu","Lug","Ago","Set","Ott","Nov","Dic")&amp;" "&amp;E97</f>
        <v>Set 2025</v>
      </c>
      <c r="I97" s="43" t="n">
        <f aca="false">SUMPRODUCT(($A$2:$A$494&gt;A97)*1)+1</f>
        <v>398</v>
      </c>
      <c r="J97" s="43" t="str">
        <f aca="false">IF(G97=Supporto!$J$4,SUMPRODUCT(($G$2:$G$494=Supporto!$J$4)*($A$2:$A$494&gt;A97))+1,"")</f>
        <v/>
      </c>
    </row>
    <row r="98" customFormat="false" ht="15" hidden="false" customHeight="false" outlineLevel="0" collapsed="false">
      <c r="A98" s="39" t="n">
        <v>45919.4166666667</v>
      </c>
      <c r="B98" s="40" t="s">
        <v>42</v>
      </c>
      <c r="C98" s="41" t="s">
        <v>32</v>
      </c>
      <c r="D98" s="42" t="n">
        <v>409.11</v>
      </c>
      <c r="E98" s="43" t="n">
        <f aca="false">YEAR(A98)</f>
        <v>2025</v>
      </c>
      <c r="F98" s="43" t="n">
        <f aca="false">MONTH(A98)</f>
        <v>9</v>
      </c>
      <c r="G98" s="43" t="n">
        <f aca="false">E98*100+F98</f>
        <v>202509</v>
      </c>
      <c r="H98" s="43" t="str">
        <f aca="false">CHOOSE(F98,"Gen","Feb","Mar","Apr","Mag","Giu","Lug","Ago","Set","Ott","Nov","Dic")&amp;" "&amp;E98</f>
        <v>Set 2025</v>
      </c>
      <c r="I98" s="43" t="n">
        <f aca="false">SUMPRODUCT(($A$2:$A$494&gt;A98)*1)+1</f>
        <v>397</v>
      </c>
      <c r="J98" s="43" t="str">
        <f aca="false">IF(G98=Supporto!$J$4,SUMPRODUCT(($G$2:$G$494=Supporto!$J$4)*($A$2:$A$494&gt;A98))+1,"")</f>
        <v/>
      </c>
    </row>
    <row r="99" customFormat="false" ht="15" hidden="false" customHeight="false" outlineLevel="0" collapsed="false">
      <c r="A99" s="39" t="n">
        <v>45919.4770833333</v>
      </c>
      <c r="B99" s="40" t="s">
        <v>33</v>
      </c>
      <c r="C99" s="41" t="s">
        <v>27</v>
      </c>
      <c r="D99" s="42" t="n">
        <v>73.38</v>
      </c>
      <c r="E99" s="43" t="n">
        <f aca="false">YEAR(A99)</f>
        <v>2025</v>
      </c>
      <c r="F99" s="43" t="n">
        <f aca="false">MONTH(A99)</f>
        <v>9</v>
      </c>
      <c r="G99" s="43" t="n">
        <f aca="false">E99*100+F99</f>
        <v>202509</v>
      </c>
      <c r="H99" s="43" t="str">
        <f aca="false">CHOOSE(F99,"Gen","Feb","Mar","Apr","Mag","Giu","Lug","Ago","Set","Ott","Nov","Dic")&amp;" "&amp;E99</f>
        <v>Set 2025</v>
      </c>
      <c r="I99" s="43" t="n">
        <f aca="false">SUMPRODUCT(($A$2:$A$494&gt;A99)*1)+1</f>
        <v>396</v>
      </c>
      <c r="J99" s="43" t="str">
        <f aca="false">IF(G99=Supporto!$J$4,SUMPRODUCT(($G$2:$G$494=Supporto!$J$4)*($A$2:$A$494&gt;A99))+1,"")</f>
        <v/>
      </c>
    </row>
    <row r="100" customFormat="false" ht="15" hidden="false" customHeight="false" outlineLevel="0" collapsed="false">
      <c r="A100" s="39" t="n">
        <v>45919.6263888889</v>
      </c>
      <c r="B100" s="40" t="s">
        <v>36</v>
      </c>
      <c r="C100" s="41" t="s">
        <v>27</v>
      </c>
      <c r="D100" s="42" t="n">
        <v>52.88</v>
      </c>
      <c r="E100" s="43" t="n">
        <f aca="false">YEAR(A100)</f>
        <v>2025</v>
      </c>
      <c r="F100" s="43" t="n">
        <f aca="false">MONTH(A100)</f>
        <v>9</v>
      </c>
      <c r="G100" s="43" t="n">
        <f aca="false">E100*100+F100</f>
        <v>202509</v>
      </c>
      <c r="H100" s="43" t="str">
        <f aca="false">CHOOSE(F100,"Gen","Feb","Mar","Apr","Mag","Giu","Lug","Ago","Set","Ott","Nov","Dic")&amp;" "&amp;E100</f>
        <v>Set 2025</v>
      </c>
      <c r="I100" s="43" t="n">
        <f aca="false">SUMPRODUCT(($A$2:$A$494&gt;A100)*1)+1</f>
        <v>395</v>
      </c>
      <c r="J100" s="43" t="str">
        <f aca="false">IF(G100=Supporto!$J$4,SUMPRODUCT(($G$2:$G$494=Supporto!$J$4)*($A$2:$A$494&gt;A100))+1,"")</f>
        <v/>
      </c>
    </row>
    <row r="101" customFormat="false" ht="15" hidden="false" customHeight="false" outlineLevel="0" collapsed="false">
      <c r="A101" s="39" t="n">
        <v>45920.5729166667</v>
      </c>
      <c r="B101" s="40" t="s">
        <v>34</v>
      </c>
      <c r="C101" s="41" t="s">
        <v>27</v>
      </c>
      <c r="D101" s="42" t="n">
        <v>15.04</v>
      </c>
      <c r="E101" s="43" t="n">
        <f aca="false">YEAR(A101)</f>
        <v>2025</v>
      </c>
      <c r="F101" s="43" t="n">
        <f aca="false">MONTH(A101)</f>
        <v>9</v>
      </c>
      <c r="G101" s="43" t="n">
        <f aca="false">E101*100+F101</f>
        <v>202509</v>
      </c>
      <c r="H101" s="43" t="str">
        <f aca="false">CHOOSE(F101,"Gen","Feb","Mar","Apr","Mag","Giu","Lug","Ago","Set","Ott","Nov","Dic")&amp;" "&amp;E101</f>
        <v>Set 2025</v>
      </c>
      <c r="I101" s="43" t="n">
        <f aca="false">SUMPRODUCT(($A$2:$A$494&gt;A101)*1)+1</f>
        <v>394</v>
      </c>
      <c r="J101" s="43" t="str">
        <f aca="false">IF(G101=Supporto!$J$4,SUMPRODUCT(($G$2:$G$494=Supporto!$J$4)*($A$2:$A$494&gt;A101))+1,"")</f>
        <v/>
      </c>
    </row>
    <row r="102" customFormat="false" ht="15" hidden="false" customHeight="false" outlineLevel="0" collapsed="false">
      <c r="A102" s="39" t="n">
        <v>45921.3208333333</v>
      </c>
      <c r="B102" s="40" t="s">
        <v>28</v>
      </c>
      <c r="C102" s="41" t="s">
        <v>27</v>
      </c>
      <c r="D102" s="42" t="n">
        <v>525.21</v>
      </c>
      <c r="E102" s="43" t="n">
        <f aca="false">YEAR(A102)</f>
        <v>2025</v>
      </c>
      <c r="F102" s="43" t="n">
        <f aca="false">MONTH(A102)</f>
        <v>9</v>
      </c>
      <c r="G102" s="43" t="n">
        <f aca="false">E102*100+F102</f>
        <v>202509</v>
      </c>
      <c r="H102" s="43" t="str">
        <f aca="false">CHOOSE(F102,"Gen","Feb","Mar","Apr","Mag","Giu","Lug","Ago","Set","Ott","Nov","Dic")&amp;" "&amp;E102</f>
        <v>Set 2025</v>
      </c>
      <c r="I102" s="43" t="n">
        <f aca="false">SUMPRODUCT(($A$2:$A$494&gt;A102)*1)+1</f>
        <v>393</v>
      </c>
      <c r="J102" s="43" t="str">
        <f aca="false">IF(G102=Supporto!$J$4,SUMPRODUCT(($G$2:$G$494=Supporto!$J$4)*($A$2:$A$494&gt;A102))+1,"")</f>
        <v/>
      </c>
    </row>
    <row r="103" customFormat="false" ht="15" hidden="false" customHeight="false" outlineLevel="0" collapsed="false">
      <c r="A103" s="39" t="n">
        <v>45922.4555555556</v>
      </c>
      <c r="B103" s="40" t="s">
        <v>28</v>
      </c>
      <c r="C103" s="41" t="s">
        <v>27</v>
      </c>
      <c r="D103" s="42" t="n">
        <v>10.96</v>
      </c>
      <c r="E103" s="43" t="n">
        <f aca="false">YEAR(A103)</f>
        <v>2025</v>
      </c>
      <c r="F103" s="43" t="n">
        <f aca="false">MONTH(A103)</f>
        <v>9</v>
      </c>
      <c r="G103" s="43" t="n">
        <f aca="false">E103*100+F103</f>
        <v>202509</v>
      </c>
      <c r="H103" s="43" t="str">
        <f aca="false">CHOOSE(F103,"Gen","Feb","Mar","Apr","Mag","Giu","Lug","Ago","Set","Ott","Nov","Dic")&amp;" "&amp;E103</f>
        <v>Set 2025</v>
      </c>
      <c r="I103" s="43" t="n">
        <f aca="false">SUMPRODUCT(($A$2:$A$494&gt;A103)*1)+1</f>
        <v>392</v>
      </c>
      <c r="J103" s="43" t="str">
        <f aca="false">IF(G103=Supporto!$J$4,SUMPRODUCT(($G$2:$G$494=Supporto!$J$4)*($A$2:$A$494&gt;A103))+1,"")</f>
        <v/>
      </c>
    </row>
    <row r="104" customFormat="false" ht="15" hidden="false" customHeight="false" outlineLevel="0" collapsed="false">
      <c r="A104" s="39" t="n">
        <v>45922.7090277778</v>
      </c>
      <c r="B104" s="40" t="s">
        <v>36</v>
      </c>
      <c r="C104" s="41" t="s">
        <v>27</v>
      </c>
      <c r="D104" s="42" t="n">
        <v>37.85</v>
      </c>
      <c r="E104" s="43" t="n">
        <f aca="false">YEAR(A104)</f>
        <v>2025</v>
      </c>
      <c r="F104" s="43" t="n">
        <f aca="false">MONTH(A104)</f>
        <v>9</v>
      </c>
      <c r="G104" s="43" t="n">
        <f aca="false">E104*100+F104</f>
        <v>202509</v>
      </c>
      <c r="H104" s="43" t="str">
        <f aca="false">CHOOSE(F104,"Gen","Feb","Mar","Apr","Mag","Giu","Lug","Ago","Set","Ott","Nov","Dic")&amp;" "&amp;E104</f>
        <v>Set 2025</v>
      </c>
      <c r="I104" s="43" t="n">
        <f aca="false">SUMPRODUCT(($A$2:$A$494&gt;A104)*1)+1</f>
        <v>391</v>
      </c>
      <c r="J104" s="43" t="str">
        <f aca="false">IF(G104=Supporto!$J$4,SUMPRODUCT(($G$2:$G$494=Supporto!$J$4)*($A$2:$A$494&gt;A104))+1,"")</f>
        <v/>
      </c>
    </row>
    <row r="105" customFormat="false" ht="15" hidden="false" customHeight="false" outlineLevel="0" collapsed="false">
      <c r="A105" s="39" t="n">
        <v>45923.8333333333</v>
      </c>
      <c r="B105" s="40" t="s">
        <v>37</v>
      </c>
      <c r="C105" s="41" t="s">
        <v>32</v>
      </c>
      <c r="D105" s="42" t="n">
        <v>164.83</v>
      </c>
      <c r="E105" s="43" t="n">
        <f aca="false">YEAR(A105)</f>
        <v>2025</v>
      </c>
      <c r="F105" s="43" t="n">
        <f aca="false">MONTH(A105)</f>
        <v>9</v>
      </c>
      <c r="G105" s="43" t="n">
        <f aca="false">E105*100+F105</f>
        <v>202509</v>
      </c>
      <c r="H105" s="43" t="str">
        <f aca="false">CHOOSE(F105,"Gen","Feb","Mar","Apr","Mag","Giu","Lug","Ago","Set","Ott","Nov","Dic")&amp;" "&amp;E105</f>
        <v>Set 2025</v>
      </c>
      <c r="I105" s="43" t="n">
        <f aca="false">SUMPRODUCT(($A$2:$A$494&gt;A105)*1)+1</f>
        <v>390</v>
      </c>
      <c r="J105" s="43" t="str">
        <f aca="false">IF(G105=Supporto!$J$4,SUMPRODUCT(($G$2:$G$494=Supporto!$J$4)*($A$2:$A$494&gt;A105))+1,"")</f>
        <v/>
      </c>
    </row>
    <row r="106" customFormat="false" ht="15" hidden="false" customHeight="false" outlineLevel="0" collapsed="false">
      <c r="A106" s="39" t="n">
        <v>45923.8576388889</v>
      </c>
      <c r="B106" s="40" t="s">
        <v>26</v>
      </c>
      <c r="C106" s="41" t="s">
        <v>27</v>
      </c>
      <c r="D106" s="42" t="n">
        <v>46.23</v>
      </c>
      <c r="E106" s="43" t="n">
        <f aca="false">YEAR(A106)</f>
        <v>2025</v>
      </c>
      <c r="F106" s="43" t="n">
        <f aca="false">MONTH(A106)</f>
        <v>9</v>
      </c>
      <c r="G106" s="43" t="n">
        <f aca="false">E106*100+F106</f>
        <v>202509</v>
      </c>
      <c r="H106" s="43" t="str">
        <f aca="false">CHOOSE(F106,"Gen","Feb","Mar","Apr","Mag","Giu","Lug","Ago","Set","Ott","Nov","Dic")&amp;" "&amp;E106</f>
        <v>Set 2025</v>
      </c>
      <c r="I106" s="43" t="n">
        <f aca="false">SUMPRODUCT(($A$2:$A$494&gt;A106)*1)+1</f>
        <v>389</v>
      </c>
      <c r="J106" s="43" t="str">
        <f aca="false">IF(G106=Supporto!$J$4,SUMPRODUCT(($G$2:$G$494=Supporto!$J$4)*($A$2:$A$494&gt;A106))+1,"")</f>
        <v/>
      </c>
    </row>
    <row r="107" customFormat="false" ht="15" hidden="false" customHeight="false" outlineLevel="0" collapsed="false">
      <c r="A107" s="39" t="n">
        <v>45924.4993055556</v>
      </c>
      <c r="B107" s="40" t="s">
        <v>30</v>
      </c>
      <c r="C107" s="41" t="s">
        <v>27</v>
      </c>
      <c r="D107" s="42" t="n">
        <v>9.24</v>
      </c>
      <c r="E107" s="43" t="n">
        <f aca="false">YEAR(A107)</f>
        <v>2025</v>
      </c>
      <c r="F107" s="43" t="n">
        <f aca="false">MONTH(A107)</f>
        <v>9</v>
      </c>
      <c r="G107" s="43" t="n">
        <f aca="false">E107*100+F107</f>
        <v>202509</v>
      </c>
      <c r="H107" s="43" t="str">
        <f aca="false">CHOOSE(F107,"Gen","Feb","Mar","Apr","Mag","Giu","Lug","Ago","Set","Ott","Nov","Dic")&amp;" "&amp;E107</f>
        <v>Set 2025</v>
      </c>
      <c r="I107" s="43" t="n">
        <f aca="false">SUMPRODUCT(($A$2:$A$494&gt;A107)*1)+1</f>
        <v>388</v>
      </c>
      <c r="J107" s="43" t="str">
        <f aca="false">IF(G107=Supporto!$J$4,SUMPRODUCT(($G$2:$G$494=Supporto!$J$4)*($A$2:$A$494&gt;A107))+1,"")</f>
        <v/>
      </c>
    </row>
    <row r="108" customFormat="false" ht="15" hidden="false" customHeight="false" outlineLevel="0" collapsed="false">
      <c r="A108" s="39" t="n">
        <v>45924.7430555556</v>
      </c>
      <c r="B108" s="40" t="s">
        <v>39</v>
      </c>
      <c r="C108" s="41" t="s">
        <v>27</v>
      </c>
      <c r="D108" s="42" t="n">
        <v>3</v>
      </c>
      <c r="E108" s="43" t="n">
        <f aca="false">YEAR(A108)</f>
        <v>2025</v>
      </c>
      <c r="F108" s="43" t="n">
        <f aca="false">MONTH(A108)</f>
        <v>9</v>
      </c>
      <c r="G108" s="43" t="n">
        <f aca="false">E108*100+F108</f>
        <v>202509</v>
      </c>
      <c r="H108" s="43" t="str">
        <f aca="false">CHOOSE(F108,"Gen","Feb","Mar","Apr","Mag","Giu","Lug","Ago","Set","Ott","Nov","Dic")&amp;" "&amp;E108</f>
        <v>Set 2025</v>
      </c>
      <c r="I108" s="43" t="n">
        <f aca="false">SUMPRODUCT(($A$2:$A$494&gt;A108)*1)+1</f>
        <v>387</v>
      </c>
      <c r="J108" s="43" t="str">
        <f aca="false">IF(G108=Supporto!$J$4,SUMPRODUCT(($G$2:$G$494=Supporto!$J$4)*($A$2:$A$494&gt;A108))+1,"")</f>
        <v/>
      </c>
    </row>
    <row r="109" customFormat="false" ht="15" hidden="false" customHeight="false" outlineLevel="0" collapsed="false">
      <c r="A109" s="39" t="n">
        <v>45924.8993055556</v>
      </c>
      <c r="B109" s="40" t="s">
        <v>26</v>
      </c>
      <c r="C109" s="41" t="s">
        <v>27</v>
      </c>
      <c r="D109" s="42" t="n">
        <v>21.75</v>
      </c>
      <c r="E109" s="43" t="n">
        <f aca="false">YEAR(A109)</f>
        <v>2025</v>
      </c>
      <c r="F109" s="43" t="n">
        <f aca="false">MONTH(A109)</f>
        <v>9</v>
      </c>
      <c r="G109" s="43" t="n">
        <f aca="false">E109*100+F109</f>
        <v>202509</v>
      </c>
      <c r="H109" s="43" t="str">
        <f aca="false">CHOOSE(F109,"Gen","Feb","Mar","Apr","Mag","Giu","Lug","Ago","Set","Ott","Nov","Dic")&amp;" "&amp;E109</f>
        <v>Set 2025</v>
      </c>
      <c r="I109" s="43" t="n">
        <f aca="false">SUMPRODUCT(($A$2:$A$494&gt;A109)*1)+1</f>
        <v>386</v>
      </c>
      <c r="J109" s="43" t="str">
        <f aca="false">IF(G109=Supporto!$J$4,SUMPRODUCT(($G$2:$G$494=Supporto!$J$4)*($A$2:$A$494&gt;A109))+1,"")</f>
        <v/>
      </c>
    </row>
    <row r="110" customFormat="false" ht="15" hidden="false" customHeight="false" outlineLevel="0" collapsed="false">
      <c r="A110" s="39" t="n">
        <v>45925.8604166667</v>
      </c>
      <c r="B110" s="40" t="s">
        <v>30</v>
      </c>
      <c r="C110" s="41" t="s">
        <v>27</v>
      </c>
      <c r="D110" s="42" t="n">
        <v>6.47</v>
      </c>
      <c r="E110" s="43" t="n">
        <f aca="false">YEAR(A110)</f>
        <v>2025</v>
      </c>
      <c r="F110" s="43" t="n">
        <f aca="false">MONTH(A110)</f>
        <v>9</v>
      </c>
      <c r="G110" s="43" t="n">
        <f aca="false">E110*100+F110</f>
        <v>202509</v>
      </c>
      <c r="H110" s="43" t="str">
        <f aca="false">CHOOSE(F110,"Gen","Feb","Mar","Apr","Mag","Giu","Lug","Ago","Set","Ott","Nov","Dic")&amp;" "&amp;E110</f>
        <v>Set 2025</v>
      </c>
      <c r="I110" s="43" t="n">
        <f aca="false">SUMPRODUCT(($A$2:$A$494&gt;A110)*1)+1</f>
        <v>385</v>
      </c>
      <c r="J110" s="43" t="str">
        <f aca="false">IF(G110=Supporto!$J$4,SUMPRODUCT(($G$2:$G$494=Supporto!$J$4)*($A$2:$A$494&gt;A110))+1,"")</f>
        <v/>
      </c>
    </row>
    <row r="111" customFormat="false" ht="15" hidden="false" customHeight="false" outlineLevel="0" collapsed="false">
      <c r="A111" s="39" t="n">
        <v>45927.375</v>
      </c>
      <c r="B111" s="40" t="s">
        <v>40</v>
      </c>
      <c r="C111" s="41" t="s">
        <v>32</v>
      </c>
      <c r="D111" s="42" t="n">
        <v>2266.4</v>
      </c>
      <c r="E111" s="43" t="n">
        <f aca="false">YEAR(A111)</f>
        <v>2025</v>
      </c>
      <c r="F111" s="43" t="n">
        <f aca="false">MONTH(A111)</f>
        <v>9</v>
      </c>
      <c r="G111" s="43" t="n">
        <f aca="false">E111*100+F111</f>
        <v>202509</v>
      </c>
      <c r="H111" s="43" t="str">
        <f aca="false">CHOOSE(F111,"Gen","Feb","Mar","Apr","Mag","Giu","Lug","Ago","Set","Ott","Nov","Dic")&amp;" "&amp;E111</f>
        <v>Set 2025</v>
      </c>
      <c r="I111" s="43" t="n">
        <f aca="false">SUMPRODUCT(($A$2:$A$494&gt;A111)*1)+1</f>
        <v>384</v>
      </c>
      <c r="J111" s="43" t="str">
        <f aca="false">IF(G111=Supporto!$J$4,SUMPRODUCT(($G$2:$G$494=Supporto!$J$4)*($A$2:$A$494&gt;A111))+1,"")</f>
        <v/>
      </c>
    </row>
    <row r="112" customFormat="false" ht="15" hidden="false" customHeight="false" outlineLevel="0" collapsed="false">
      <c r="A112" s="39" t="n">
        <v>45927.3784722222</v>
      </c>
      <c r="B112" s="40" t="s">
        <v>41</v>
      </c>
      <c r="C112" s="41" t="s">
        <v>32</v>
      </c>
      <c r="D112" s="42" t="n">
        <v>1981.47</v>
      </c>
      <c r="E112" s="43" t="n">
        <f aca="false">YEAR(A112)</f>
        <v>2025</v>
      </c>
      <c r="F112" s="43" t="n">
        <f aca="false">MONTH(A112)</f>
        <v>9</v>
      </c>
      <c r="G112" s="43" t="n">
        <f aca="false">E112*100+F112</f>
        <v>202509</v>
      </c>
      <c r="H112" s="43" t="str">
        <f aca="false">CHOOSE(F112,"Gen","Feb","Mar","Apr","Mag","Giu","Lug","Ago","Set","Ott","Nov","Dic")&amp;" "&amp;E112</f>
        <v>Set 2025</v>
      </c>
      <c r="I112" s="43" t="n">
        <f aca="false">SUMPRODUCT(($A$2:$A$494&gt;A112)*1)+1</f>
        <v>383</v>
      </c>
      <c r="J112" s="43" t="str">
        <f aca="false">IF(G112=Supporto!$J$4,SUMPRODUCT(($G$2:$G$494=Supporto!$J$4)*($A$2:$A$494&gt;A112))+1,"")</f>
        <v/>
      </c>
    </row>
    <row r="113" customFormat="false" ht="15" hidden="false" customHeight="false" outlineLevel="0" collapsed="false">
      <c r="A113" s="39" t="n">
        <v>45927.6263888889</v>
      </c>
      <c r="B113" s="40" t="s">
        <v>26</v>
      </c>
      <c r="C113" s="41" t="s">
        <v>27</v>
      </c>
      <c r="D113" s="42" t="n">
        <v>8.57</v>
      </c>
      <c r="E113" s="43" t="n">
        <f aca="false">YEAR(A113)</f>
        <v>2025</v>
      </c>
      <c r="F113" s="43" t="n">
        <f aca="false">MONTH(A113)</f>
        <v>9</v>
      </c>
      <c r="G113" s="43" t="n">
        <f aca="false">E113*100+F113</f>
        <v>202509</v>
      </c>
      <c r="H113" s="43" t="str">
        <f aca="false">CHOOSE(F113,"Gen","Feb","Mar","Apr","Mag","Giu","Lug","Ago","Set","Ott","Nov","Dic")&amp;" "&amp;E113</f>
        <v>Set 2025</v>
      </c>
      <c r="I113" s="43" t="n">
        <f aca="false">SUMPRODUCT(($A$2:$A$494&gt;A113)*1)+1</f>
        <v>382</v>
      </c>
      <c r="J113" s="43" t="str">
        <f aca="false">IF(G113=Supporto!$J$4,SUMPRODUCT(($G$2:$G$494=Supporto!$J$4)*($A$2:$A$494&gt;A113))+1,"")</f>
        <v/>
      </c>
    </row>
    <row r="114" customFormat="false" ht="15" hidden="false" customHeight="false" outlineLevel="0" collapsed="false">
      <c r="A114" s="39" t="n">
        <v>45927.7076388889</v>
      </c>
      <c r="B114" s="40" t="s">
        <v>28</v>
      </c>
      <c r="C114" s="41" t="s">
        <v>27</v>
      </c>
      <c r="D114" s="42" t="n">
        <v>322.47</v>
      </c>
      <c r="E114" s="43" t="n">
        <f aca="false">YEAR(A114)</f>
        <v>2025</v>
      </c>
      <c r="F114" s="43" t="n">
        <f aca="false">MONTH(A114)</f>
        <v>9</v>
      </c>
      <c r="G114" s="43" t="n">
        <f aca="false">E114*100+F114</f>
        <v>202509</v>
      </c>
      <c r="H114" s="43" t="str">
        <f aca="false">CHOOSE(F114,"Gen","Feb","Mar","Apr","Mag","Giu","Lug","Ago","Set","Ott","Nov","Dic")&amp;" "&amp;E114</f>
        <v>Set 2025</v>
      </c>
      <c r="I114" s="43" t="n">
        <f aca="false">SUMPRODUCT(($A$2:$A$494&gt;A114)*1)+1</f>
        <v>381</v>
      </c>
      <c r="J114" s="43" t="str">
        <f aca="false">IF(G114=Supporto!$J$4,SUMPRODUCT(($G$2:$G$494=Supporto!$J$4)*($A$2:$A$494&gt;A114))+1,"")</f>
        <v/>
      </c>
    </row>
    <row r="115" customFormat="false" ht="15" hidden="false" customHeight="false" outlineLevel="0" collapsed="false">
      <c r="A115" s="39" t="n">
        <v>45928.9263888889</v>
      </c>
      <c r="B115" s="40" t="s">
        <v>35</v>
      </c>
      <c r="C115" s="41" t="s">
        <v>27</v>
      </c>
      <c r="D115" s="42" t="n">
        <v>4.57</v>
      </c>
      <c r="E115" s="43" t="n">
        <f aca="false">YEAR(A115)</f>
        <v>2025</v>
      </c>
      <c r="F115" s="43" t="n">
        <f aca="false">MONTH(A115)</f>
        <v>9</v>
      </c>
      <c r="G115" s="43" t="n">
        <f aca="false">E115*100+F115</f>
        <v>202509</v>
      </c>
      <c r="H115" s="43" t="str">
        <f aca="false">CHOOSE(F115,"Gen","Feb","Mar","Apr","Mag","Giu","Lug","Ago","Set","Ott","Nov","Dic")&amp;" "&amp;E115</f>
        <v>Set 2025</v>
      </c>
      <c r="I115" s="43" t="n">
        <f aca="false">SUMPRODUCT(($A$2:$A$494&gt;A115)*1)+1</f>
        <v>380</v>
      </c>
      <c r="J115" s="43" t="str">
        <f aca="false">IF(G115=Supporto!$J$4,SUMPRODUCT(($G$2:$G$494=Supporto!$J$4)*($A$2:$A$494&gt;A115))+1,"")</f>
        <v/>
      </c>
    </row>
    <row r="116" customFormat="false" ht="15" hidden="false" customHeight="false" outlineLevel="0" collapsed="false">
      <c r="A116" s="39" t="n">
        <v>45933.6888888889</v>
      </c>
      <c r="B116" s="40" t="s">
        <v>34</v>
      </c>
      <c r="C116" s="41" t="s">
        <v>27</v>
      </c>
      <c r="D116" s="42" t="n">
        <v>36.72</v>
      </c>
      <c r="E116" s="43" t="n">
        <f aca="false">YEAR(A116)</f>
        <v>2025</v>
      </c>
      <c r="F116" s="43" t="n">
        <f aca="false">MONTH(A116)</f>
        <v>10</v>
      </c>
      <c r="G116" s="43" t="n">
        <f aca="false">E116*100+F116</f>
        <v>202510</v>
      </c>
      <c r="H116" s="43" t="str">
        <f aca="false">CHOOSE(F116,"Gen","Feb","Mar","Apr","Mag","Giu","Lug","Ago","Set","Ott","Nov","Dic")&amp;" "&amp;E116</f>
        <v>Ott 2025</v>
      </c>
      <c r="I116" s="43" t="n">
        <f aca="false">SUMPRODUCT(($A$2:$A$494&gt;A116)*1)+1</f>
        <v>379</v>
      </c>
      <c r="J116" s="43" t="str">
        <f aca="false">IF(G116=Supporto!$J$4,SUMPRODUCT(($G$2:$G$494=Supporto!$J$4)*($A$2:$A$494&gt;A116))+1,"")</f>
        <v/>
      </c>
    </row>
    <row r="117" customFormat="false" ht="15" hidden="false" customHeight="false" outlineLevel="0" collapsed="false">
      <c r="A117" s="39" t="n">
        <v>45935.6</v>
      </c>
      <c r="B117" s="40" t="s">
        <v>36</v>
      </c>
      <c r="C117" s="41" t="s">
        <v>27</v>
      </c>
      <c r="D117" s="42" t="n">
        <v>7.05</v>
      </c>
      <c r="E117" s="43" t="n">
        <f aca="false">YEAR(A117)</f>
        <v>2025</v>
      </c>
      <c r="F117" s="43" t="n">
        <f aca="false">MONTH(A117)</f>
        <v>10</v>
      </c>
      <c r="G117" s="43" t="n">
        <f aca="false">E117*100+F117</f>
        <v>202510</v>
      </c>
      <c r="H117" s="43" t="str">
        <f aca="false">CHOOSE(F117,"Gen","Feb","Mar","Apr","Mag","Giu","Lug","Ago","Set","Ott","Nov","Dic")&amp;" "&amp;E117</f>
        <v>Ott 2025</v>
      </c>
      <c r="I117" s="43" t="n">
        <f aca="false">SUMPRODUCT(($A$2:$A$494&gt;A117)*1)+1</f>
        <v>378</v>
      </c>
      <c r="J117" s="43" t="str">
        <f aca="false">IF(G117=Supporto!$J$4,SUMPRODUCT(($G$2:$G$494=Supporto!$J$4)*($A$2:$A$494&gt;A117))+1,"")</f>
        <v/>
      </c>
    </row>
    <row r="118" customFormat="false" ht="15" hidden="false" customHeight="false" outlineLevel="0" collapsed="false">
      <c r="A118" s="39" t="n">
        <v>45935.9041666667</v>
      </c>
      <c r="B118" s="40" t="s">
        <v>30</v>
      </c>
      <c r="C118" s="41" t="s">
        <v>27</v>
      </c>
      <c r="D118" s="42" t="n">
        <v>54.49</v>
      </c>
      <c r="E118" s="43" t="n">
        <f aca="false">YEAR(A118)</f>
        <v>2025</v>
      </c>
      <c r="F118" s="43" t="n">
        <f aca="false">MONTH(A118)</f>
        <v>10</v>
      </c>
      <c r="G118" s="43" t="n">
        <f aca="false">E118*100+F118</f>
        <v>202510</v>
      </c>
      <c r="H118" s="43" t="str">
        <f aca="false">CHOOSE(F118,"Gen","Feb","Mar","Apr","Mag","Giu","Lug","Ago","Set","Ott","Nov","Dic")&amp;" "&amp;E118</f>
        <v>Ott 2025</v>
      </c>
      <c r="I118" s="43" t="n">
        <f aca="false">SUMPRODUCT(($A$2:$A$494&gt;A118)*1)+1</f>
        <v>377</v>
      </c>
      <c r="J118" s="43" t="str">
        <f aca="false">IF(G118=Supporto!$J$4,SUMPRODUCT(($G$2:$G$494=Supporto!$J$4)*($A$2:$A$494&gt;A118))+1,"")</f>
        <v/>
      </c>
    </row>
    <row r="119" customFormat="false" ht="15" hidden="false" customHeight="false" outlineLevel="0" collapsed="false">
      <c r="A119" s="39" t="n">
        <v>45936.9361111111</v>
      </c>
      <c r="B119" s="40" t="s">
        <v>39</v>
      </c>
      <c r="C119" s="41" t="s">
        <v>27</v>
      </c>
      <c r="D119" s="42" t="n">
        <v>13.96</v>
      </c>
      <c r="E119" s="43" t="n">
        <f aca="false">YEAR(A119)</f>
        <v>2025</v>
      </c>
      <c r="F119" s="43" t="n">
        <f aca="false">MONTH(A119)</f>
        <v>10</v>
      </c>
      <c r="G119" s="43" t="n">
        <f aca="false">E119*100+F119</f>
        <v>202510</v>
      </c>
      <c r="H119" s="43" t="str">
        <f aca="false">CHOOSE(F119,"Gen","Feb","Mar","Apr","Mag","Giu","Lug","Ago","Set","Ott","Nov","Dic")&amp;" "&amp;E119</f>
        <v>Ott 2025</v>
      </c>
      <c r="I119" s="43" t="n">
        <f aca="false">SUMPRODUCT(($A$2:$A$494&gt;A119)*1)+1</f>
        <v>376</v>
      </c>
      <c r="J119" s="43" t="str">
        <f aca="false">IF(G119=Supporto!$J$4,SUMPRODUCT(($G$2:$G$494=Supporto!$J$4)*($A$2:$A$494&gt;A119))+1,"")</f>
        <v/>
      </c>
    </row>
    <row r="120" customFormat="false" ht="15" hidden="false" customHeight="false" outlineLevel="0" collapsed="false">
      <c r="A120" s="39" t="n">
        <v>45938.4368055556</v>
      </c>
      <c r="B120" s="40" t="s">
        <v>30</v>
      </c>
      <c r="C120" s="41" t="s">
        <v>27</v>
      </c>
      <c r="D120" s="42" t="n">
        <v>5.85</v>
      </c>
      <c r="E120" s="43" t="n">
        <f aca="false">YEAR(A120)</f>
        <v>2025</v>
      </c>
      <c r="F120" s="43" t="n">
        <f aca="false">MONTH(A120)</f>
        <v>10</v>
      </c>
      <c r="G120" s="43" t="n">
        <f aca="false">E120*100+F120</f>
        <v>202510</v>
      </c>
      <c r="H120" s="43" t="str">
        <f aca="false">CHOOSE(F120,"Gen","Feb","Mar","Apr","Mag","Giu","Lug","Ago","Set","Ott","Nov","Dic")&amp;" "&amp;E120</f>
        <v>Ott 2025</v>
      </c>
      <c r="I120" s="43" t="n">
        <f aca="false">SUMPRODUCT(($A$2:$A$494&gt;A120)*1)+1</f>
        <v>375</v>
      </c>
      <c r="J120" s="43" t="str">
        <f aca="false">IF(G120=Supporto!$J$4,SUMPRODUCT(($G$2:$G$494=Supporto!$J$4)*($A$2:$A$494&gt;A120))+1,"")</f>
        <v/>
      </c>
    </row>
    <row r="121" customFormat="false" ht="15" hidden="false" customHeight="false" outlineLevel="0" collapsed="false">
      <c r="A121" s="39" t="n">
        <v>45940.5604166667</v>
      </c>
      <c r="B121" s="40" t="s">
        <v>28</v>
      </c>
      <c r="C121" s="41" t="s">
        <v>27</v>
      </c>
      <c r="D121" s="42" t="n">
        <v>53.04</v>
      </c>
      <c r="E121" s="43" t="n">
        <f aca="false">YEAR(A121)</f>
        <v>2025</v>
      </c>
      <c r="F121" s="43" t="n">
        <f aca="false">MONTH(A121)</f>
        <v>10</v>
      </c>
      <c r="G121" s="43" t="n">
        <f aca="false">E121*100+F121</f>
        <v>202510</v>
      </c>
      <c r="H121" s="43" t="str">
        <f aca="false">CHOOSE(F121,"Gen","Feb","Mar","Apr","Mag","Giu","Lug","Ago","Set","Ott","Nov","Dic")&amp;" "&amp;E121</f>
        <v>Ott 2025</v>
      </c>
      <c r="I121" s="43" t="n">
        <f aca="false">SUMPRODUCT(($A$2:$A$494&gt;A121)*1)+1</f>
        <v>374</v>
      </c>
      <c r="J121" s="43" t="str">
        <f aca="false">IF(G121=Supporto!$J$4,SUMPRODUCT(($G$2:$G$494=Supporto!$J$4)*($A$2:$A$494&gt;A121))+1,"")</f>
        <v/>
      </c>
    </row>
    <row r="122" customFormat="false" ht="15" hidden="false" customHeight="false" outlineLevel="0" collapsed="false">
      <c r="A122" s="39" t="n">
        <v>45940.61875</v>
      </c>
      <c r="B122" s="40" t="s">
        <v>34</v>
      </c>
      <c r="C122" s="41" t="s">
        <v>27</v>
      </c>
      <c r="D122" s="42" t="n">
        <v>84.67</v>
      </c>
      <c r="E122" s="43" t="n">
        <f aca="false">YEAR(A122)</f>
        <v>2025</v>
      </c>
      <c r="F122" s="43" t="n">
        <f aca="false">MONTH(A122)</f>
        <v>10</v>
      </c>
      <c r="G122" s="43" t="n">
        <f aca="false">E122*100+F122</f>
        <v>202510</v>
      </c>
      <c r="H122" s="43" t="str">
        <f aca="false">CHOOSE(F122,"Gen","Feb","Mar","Apr","Mag","Giu","Lug","Ago","Set","Ott","Nov","Dic")&amp;" "&amp;E122</f>
        <v>Ott 2025</v>
      </c>
      <c r="I122" s="43" t="n">
        <f aca="false">SUMPRODUCT(($A$2:$A$494&gt;A122)*1)+1</f>
        <v>373</v>
      </c>
      <c r="J122" s="43" t="str">
        <f aca="false">IF(G122=Supporto!$J$4,SUMPRODUCT(($G$2:$G$494=Supporto!$J$4)*($A$2:$A$494&gt;A122))+1,"")</f>
        <v/>
      </c>
    </row>
    <row r="123" customFormat="false" ht="15" hidden="false" customHeight="false" outlineLevel="0" collapsed="false">
      <c r="A123" s="39" t="n">
        <v>45940.6958333333</v>
      </c>
      <c r="B123" s="40" t="s">
        <v>29</v>
      </c>
      <c r="C123" s="41" t="s">
        <v>27</v>
      </c>
      <c r="D123" s="42" t="n">
        <v>101.82</v>
      </c>
      <c r="E123" s="43" t="n">
        <f aca="false">YEAR(A123)</f>
        <v>2025</v>
      </c>
      <c r="F123" s="43" t="n">
        <f aca="false">MONTH(A123)</f>
        <v>10</v>
      </c>
      <c r="G123" s="43" t="n">
        <f aca="false">E123*100+F123</f>
        <v>202510</v>
      </c>
      <c r="H123" s="43" t="str">
        <f aca="false">CHOOSE(F123,"Gen","Feb","Mar","Apr","Mag","Giu","Lug","Ago","Set","Ott","Nov","Dic")&amp;" "&amp;E123</f>
        <v>Ott 2025</v>
      </c>
      <c r="I123" s="43" t="n">
        <f aca="false">SUMPRODUCT(($A$2:$A$494&gt;A123)*1)+1</f>
        <v>372</v>
      </c>
      <c r="J123" s="43" t="str">
        <f aca="false">IF(G123=Supporto!$J$4,SUMPRODUCT(($G$2:$G$494=Supporto!$J$4)*($A$2:$A$494&gt;A123))+1,"")</f>
        <v/>
      </c>
    </row>
    <row r="124" customFormat="false" ht="15" hidden="false" customHeight="false" outlineLevel="0" collapsed="false">
      <c r="A124" s="39" t="n">
        <v>45941.7375</v>
      </c>
      <c r="B124" s="40" t="s">
        <v>29</v>
      </c>
      <c r="C124" s="41" t="s">
        <v>27</v>
      </c>
      <c r="D124" s="42" t="n">
        <v>133.26</v>
      </c>
      <c r="E124" s="43" t="n">
        <f aca="false">YEAR(A124)</f>
        <v>2025</v>
      </c>
      <c r="F124" s="43" t="n">
        <f aca="false">MONTH(A124)</f>
        <v>10</v>
      </c>
      <c r="G124" s="43" t="n">
        <f aca="false">E124*100+F124</f>
        <v>202510</v>
      </c>
      <c r="H124" s="43" t="str">
        <f aca="false">CHOOSE(F124,"Gen","Feb","Mar","Apr","Mag","Giu","Lug","Ago","Set","Ott","Nov","Dic")&amp;" "&amp;E124</f>
        <v>Ott 2025</v>
      </c>
      <c r="I124" s="43" t="n">
        <f aca="false">SUMPRODUCT(($A$2:$A$494&gt;A124)*1)+1</f>
        <v>371</v>
      </c>
      <c r="J124" s="43" t="str">
        <f aca="false">IF(G124=Supporto!$J$4,SUMPRODUCT(($G$2:$G$494=Supporto!$J$4)*($A$2:$A$494&gt;A124))+1,"")</f>
        <v/>
      </c>
    </row>
    <row r="125" customFormat="false" ht="15" hidden="false" customHeight="false" outlineLevel="0" collapsed="false">
      <c r="A125" s="39" t="n">
        <v>45943.5895833333</v>
      </c>
      <c r="B125" s="40" t="s">
        <v>26</v>
      </c>
      <c r="C125" s="41" t="s">
        <v>27</v>
      </c>
      <c r="D125" s="42" t="n">
        <v>3</v>
      </c>
      <c r="E125" s="43" t="n">
        <f aca="false">YEAR(A125)</f>
        <v>2025</v>
      </c>
      <c r="F125" s="43" t="n">
        <f aca="false">MONTH(A125)</f>
        <v>10</v>
      </c>
      <c r="G125" s="43" t="n">
        <f aca="false">E125*100+F125</f>
        <v>202510</v>
      </c>
      <c r="H125" s="43" t="str">
        <f aca="false">CHOOSE(F125,"Gen","Feb","Mar","Apr","Mag","Giu","Lug","Ago","Set","Ott","Nov","Dic")&amp;" "&amp;E125</f>
        <v>Ott 2025</v>
      </c>
      <c r="I125" s="43" t="n">
        <f aca="false">SUMPRODUCT(($A$2:$A$494&gt;A125)*1)+1</f>
        <v>370</v>
      </c>
      <c r="J125" s="43" t="str">
        <f aca="false">IF(G125=Supporto!$J$4,SUMPRODUCT(($G$2:$G$494=Supporto!$J$4)*($A$2:$A$494&gt;A125))+1,"")</f>
        <v/>
      </c>
    </row>
    <row r="126" customFormat="false" ht="15" hidden="false" customHeight="false" outlineLevel="0" collapsed="false">
      <c r="A126" s="39" t="n">
        <v>45944.4041666667</v>
      </c>
      <c r="B126" s="40" t="s">
        <v>29</v>
      </c>
      <c r="C126" s="41" t="s">
        <v>27</v>
      </c>
      <c r="D126" s="42" t="n">
        <v>118.84</v>
      </c>
      <c r="E126" s="43" t="n">
        <f aca="false">YEAR(A126)</f>
        <v>2025</v>
      </c>
      <c r="F126" s="43" t="n">
        <f aca="false">MONTH(A126)</f>
        <v>10</v>
      </c>
      <c r="G126" s="43" t="n">
        <f aca="false">E126*100+F126</f>
        <v>202510</v>
      </c>
      <c r="H126" s="43" t="str">
        <f aca="false">CHOOSE(F126,"Gen","Feb","Mar","Apr","Mag","Giu","Lug","Ago","Set","Ott","Nov","Dic")&amp;" "&amp;E126</f>
        <v>Ott 2025</v>
      </c>
      <c r="I126" s="43" t="n">
        <f aca="false">SUMPRODUCT(($A$2:$A$494&gt;A126)*1)+1</f>
        <v>369</v>
      </c>
      <c r="J126" s="43" t="str">
        <f aca="false">IF(G126=Supporto!$J$4,SUMPRODUCT(($G$2:$G$494=Supporto!$J$4)*($A$2:$A$494&gt;A126))+1,"")</f>
        <v/>
      </c>
    </row>
    <row r="127" customFormat="false" ht="15" hidden="false" customHeight="false" outlineLevel="0" collapsed="false">
      <c r="A127" s="39" t="n">
        <v>45944.5729166667</v>
      </c>
      <c r="B127" s="40" t="s">
        <v>26</v>
      </c>
      <c r="C127" s="41" t="s">
        <v>27</v>
      </c>
      <c r="D127" s="42" t="n">
        <v>60.96</v>
      </c>
      <c r="E127" s="43" t="n">
        <f aca="false">YEAR(A127)</f>
        <v>2025</v>
      </c>
      <c r="F127" s="43" t="n">
        <f aca="false">MONTH(A127)</f>
        <v>10</v>
      </c>
      <c r="G127" s="43" t="n">
        <f aca="false">E127*100+F127</f>
        <v>202510</v>
      </c>
      <c r="H127" s="43" t="str">
        <f aca="false">CHOOSE(F127,"Gen","Feb","Mar","Apr","Mag","Giu","Lug","Ago","Set","Ott","Nov","Dic")&amp;" "&amp;E127</f>
        <v>Ott 2025</v>
      </c>
      <c r="I127" s="43" t="n">
        <f aca="false">SUMPRODUCT(($A$2:$A$494&gt;A127)*1)+1</f>
        <v>368</v>
      </c>
      <c r="J127" s="43" t="str">
        <f aca="false">IF(G127=Supporto!$J$4,SUMPRODUCT(($G$2:$G$494=Supporto!$J$4)*($A$2:$A$494&gt;A127))+1,"")</f>
        <v/>
      </c>
    </row>
    <row r="128" customFormat="false" ht="15" hidden="false" customHeight="false" outlineLevel="0" collapsed="false">
      <c r="A128" s="39" t="n">
        <v>45944.5909722222</v>
      </c>
      <c r="B128" s="40" t="s">
        <v>33</v>
      </c>
      <c r="C128" s="41" t="s">
        <v>27</v>
      </c>
      <c r="D128" s="42" t="n">
        <v>11.34</v>
      </c>
      <c r="E128" s="43" t="n">
        <f aca="false">YEAR(A128)</f>
        <v>2025</v>
      </c>
      <c r="F128" s="43" t="n">
        <f aca="false">MONTH(A128)</f>
        <v>10</v>
      </c>
      <c r="G128" s="43" t="n">
        <f aca="false">E128*100+F128</f>
        <v>202510</v>
      </c>
      <c r="H128" s="43" t="str">
        <f aca="false">CHOOSE(F128,"Gen","Feb","Mar","Apr","Mag","Giu","Lug","Ago","Set","Ott","Nov","Dic")&amp;" "&amp;E128</f>
        <v>Ott 2025</v>
      </c>
      <c r="I128" s="43" t="n">
        <f aca="false">SUMPRODUCT(($A$2:$A$494&gt;A128)*1)+1</f>
        <v>367</v>
      </c>
      <c r="J128" s="43" t="str">
        <f aca="false">IF(G128=Supporto!$J$4,SUMPRODUCT(($G$2:$G$494=Supporto!$J$4)*($A$2:$A$494&gt;A128))+1,"")</f>
        <v/>
      </c>
    </row>
    <row r="129" customFormat="false" ht="15" hidden="false" customHeight="false" outlineLevel="0" collapsed="false">
      <c r="A129" s="39" t="n">
        <v>45944.7256944445</v>
      </c>
      <c r="B129" s="40" t="s">
        <v>29</v>
      </c>
      <c r="C129" s="41" t="s">
        <v>27</v>
      </c>
      <c r="D129" s="42" t="n">
        <v>34.95</v>
      </c>
      <c r="E129" s="43" t="n">
        <f aca="false">YEAR(A129)</f>
        <v>2025</v>
      </c>
      <c r="F129" s="43" t="n">
        <f aca="false">MONTH(A129)</f>
        <v>10</v>
      </c>
      <c r="G129" s="43" t="n">
        <f aca="false">E129*100+F129</f>
        <v>202510</v>
      </c>
      <c r="H129" s="43" t="str">
        <f aca="false">CHOOSE(F129,"Gen","Feb","Mar","Apr","Mag","Giu","Lug","Ago","Set","Ott","Nov","Dic")&amp;" "&amp;E129</f>
        <v>Ott 2025</v>
      </c>
      <c r="I129" s="43" t="n">
        <f aca="false">SUMPRODUCT(($A$2:$A$494&gt;A129)*1)+1</f>
        <v>366</v>
      </c>
      <c r="J129" s="43" t="str">
        <f aca="false">IF(G129=Supporto!$J$4,SUMPRODUCT(($G$2:$G$494=Supporto!$J$4)*($A$2:$A$494&gt;A129))+1,"")</f>
        <v/>
      </c>
    </row>
    <row r="130" customFormat="false" ht="15" hidden="false" customHeight="false" outlineLevel="0" collapsed="false">
      <c r="A130" s="39" t="n">
        <v>45947.7416666667</v>
      </c>
      <c r="B130" s="40" t="s">
        <v>30</v>
      </c>
      <c r="C130" s="41" t="s">
        <v>27</v>
      </c>
      <c r="D130" s="42" t="n">
        <v>56.15</v>
      </c>
      <c r="E130" s="43" t="n">
        <f aca="false">YEAR(A130)</f>
        <v>2025</v>
      </c>
      <c r="F130" s="43" t="n">
        <f aca="false">MONTH(A130)</f>
        <v>10</v>
      </c>
      <c r="G130" s="43" t="n">
        <f aca="false">E130*100+F130</f>
        <v>202510</v>
      </c>
      <c r="H130" s="43" t="str">
        <f aca="false">CHOOSE(F130,"Gen","Feb","Mar","Apr","Mag","Giu","Lug","Ago","Set","Ott","Nov","Dic")&amp;" "&amp;E130</f>
        <v>Ott 2025</v>
      </c>
      <c r="I130" s="43" t="n">
        <f aca="false">SUMPRODUCT(($A$2:$A$494&gt;A130)*1)+1</f>
        <v>365</v>
      </c>
      <c r="J130" s="43" t="str">
        <f aca="false">IF(G130=Supporto!$J$4,SUMPRODUCT(($G$2:$G$494=Supporto!$J$4)*($A$2:$A$494&gt;A130))+1,"")</f>
        <v/>
      </c>
    </row>
    <row r="131" customFormat="false" ht="15" hidden="false" customHeight="false" outlineLevel="0" collapsed="false">
      <c r="A131" s="39" t="n">
        <v>45948.3048611111</v>
      </c>
      <c r="B131" s="40" t="s">
        <v>28</v>
      </c>
      <c r="C131" s="41" t="s">
        <v>27</v>
      </c>
      <c r="D131" s="42" t="n">
        <v>462.44</v>
      </c>
      <c r="E131" s="43" t="n">
        <f aca="false">YEAR(A131)</f>
        <v>2025</v>
      </c>
      <c r="F131" s="43" t="n">
        <f aca="false">MONTH(A131)</f>
        <v>10</v>
      </c>
      <c r="G131" s="43" t="n">
        <f aca="false">E131*100+F131</f>
        <v>202510</v>
      </c>
      <c r="H131" s="43" t="str">
        <f aca="false">CHOOSE(F131,"Gen","Feb","Mar","Apr","Mag","Giu","Lug","Ago","Set","Ott","Nov","Dic")&amp;" "&amp;E131</f>
        <v>Ott 2025</v>
      </c>
      <c r="I131" s="43" t="n">
        <f aca="false">SUMPRODUCT(($A$2:$A$494&gt;A131)*1)+1</f>
        <v>364</v>
      </c>
      <c r="J131" s="43" t="str">
        <f aca="false">IF(G131=Supporto!$J$4,SUMPRODUCT(($G$2:$G$494=Supporto!$J$4)*($A$2:$A$494&gt;A131))+1,"")</f>
        <v/>
      </c>
    </row>
    <row r="132" customFormat="false" ht="15" hidden="false" customHeight="false" outlineLevel="0" collapsed="false">
      <c r="A132" s="39" t="n">
        <v>45948.3805555556</v>
      </c>
      <c r="B132" s="40" t="s">
        <v>36</v>
      </c>
      <c r="C132" s="41" t="s">
        <v>27</v>
      </c>
      <c r="D132" s="42" t="n">
        <v>16.32</v>
      </c>
      <c r="E132" s="43" t="n">
        <f aca="false">YEAR(A132)</f>
        <v>2025</v>
      </c>
      <c r="F132" s="43" t="n">
        <f aca="false">MONTH(A132)</f>
        <v>10</v>
      </c>
      <c r="G132" s="43" t="n">
        <f aca="false">E132*100+F132</f>
        <v>202510</v>
      </c>
      <c r="H132" s="43" t="str">
        <f aca="false">CHOOSE(F132,"Gen","Feb","Mar","Apr","Mag","Giu","Lug","Ago","Set","Ott","Nov","Dic")&amp;" "&amp;E132</f>
        <v>Ott 2025</v>
      </c>
      <c r="I132" s="43" t="n">
        <f aca="false">SUMPRODUCT(($A$2:$A$494&gt;A132)*1)+1</f>
        <v>363</v>
      </c>
      <c r="J132" s="43" t="str">
        <f aca="false">IF(G132=Supporto!$J$4,SUMPRODUCT(($G$2:$G$494=Supporto!$J$4)*($A$2:$A$494&gt;A132))+1,"")</f>
        <v/>
      </c>
    </row>
    <row r="133" customFormat="false" ht="15" hidden="false" customHeight="false" outlineLevel="0" collapsed="false">
      <c r="A133" s="39" t="n">
        <v>45948.9145833333</v>
      </c>
      <c r="B133" s="40" t="s">
        <v>39</v>
      </c>
      <c r="C133" s="41" t="s">
        <v>27</v>
      </c>
      <c r="D133" s="42" t="n">
        <v>68.44</v>
      </c>
      <c r="E133" s="43" t="n">
        <f aca="false">YEAR(A133)</f>
        <v>2025</v>
      </c>
      <c r="F133" s="43" t="n">
        <f aca="false">MONTH(A133)</f>
        <v>10</v>
      </c>
      <c r="G133" s="43" t="n">
        <f aca="false">E133*100+F133</f>
        <v>202510</v>
      </c>
      <c r="H133" s="43" t="str">
        <f aca="false">CHOOSE(F133,"Gen","Feb","Mar","Apr","Mag","Giu","Lug","Ago","Set","Ott","Nov","Dic")&amp;" "&amp;E133</f>
        <v>Ott 2025</v>
      </c>
      <c r="I133" s="43" t="n">
        <f aca="false">SUMPRODUCT(($A$2:$A$494&gt;A133)*1)+1</f>
        <v>362</v>
      </c>
      <c r="J133" s="43" t="str">
        <f aca="false">IF(G133=Supporto!$J$4,SUMPRODUCT(($G$2:$G$494=Supporto!$J$4)*($A$2:$A$494&gt;A133))+1,"")</f>
        <v/>
      </c>
    </row>
    <row r="134" customFormat="false" ht="15" hidden="false" customHeight="false" outlineLevel="0" collapsed="false">
      <c r="A134" s="39" t="n">
        <v>45949.6840277778</v>
      </c>
      <c r="B134" s="40" t="s">
        <v>28</v>
      </c>
      <c r="C134" s="41" t="s">
        <v>27</v>
      </c>
      <c r="D134" s="42" t="n">
        <v>260.75</v>
      </c>
      <c r="E134" s="43" t="n">
        <f aca="false">YEAR(A134)</f>
        <v>2025</v>
      </c>
      <c r="F134" s="43" t="n">
        <f aca="false">MONTH(A134)</f>
        <v>10</v>
      </c>
      <c r="G134" s="43" t="n">
        <f aca="false">E134*100+F134</f>
        <v>202510</v>
      </c>
      <c r="H134" s="43" t="str">
        <f aca="false">CHOOSE(F134,"Gen","Feb","Mar","Apr","Mag","Giu","Lug","Ago","Set","Ott","Nov","Dic")&amp;" "&amp;E134</f>
        <v>Ott 2025</v>
      </c>
      <c r="I134" s="43" t="n">
        <f aca="false">SUMPRODUCT(($A$2:$A$494&gt;A134)*1)+1</f>
        <v>361</v>
      </c>
      <c r="J134" s="43" t="str">
        <f aca="false">IF(G134=Supporto!$J$4,SUMPRODUCT(($G$2:$G$494=Supporto!$J$4)*($A$2:$A$494&gt;A134))+1,"")</f>
        <v/>
      </c>
    </row>
    <row r="135" customFormat="false" ht="15" hidden="false" customHeight="false" outlineLevel="0" collapsed="false">
      <c r="A135" s="39" t="n">
        <v>45950.8333333333</v>
      </c>
      <c r="B135" s="40" t="s">
        <v>37</v>
      </c>
      <c r="C135" s="41" t="s">
        <v>32</v>
      </c>
      <c r="D135" s="42" t="n">
        <v>345.74</v>
      </c>
      <c r="E135" s="43" t="n">
        <f aca="false">YEAR(A135)</f>
        <v>2025</v>
      </c>
      <c r="F135" s="43" t="n">
        <f aca="false">MONTH(A135)</f>
        <v>10</v>
      </c>
      <c r="G135" s="43" t="n">
        <f aca="false">E135*100+F135</f>
        <v>202510</v>
      </c>
      <c r="H135" s="43" t="str">
        <f aca="false">CHOOSE(F135,"Gen","Feb","Mar","Apr","Mag","Giu","Lug","Ago","Set","Ott","Nov","Dic")&amp;" "&amp;E135</f>
        <v>Ott 2025</v>
      </c>
      <c r="I135" s="43" t="n">
        <f aca="false">SUMPRODUCT(($A$2:$A$494&gt;A135)*1)+1</f>
        <v>360</v>
      </c>
      <c r="J135" s="43" t="str">
        <f aca="false">IF(G135=Supporto!$J$4,SUMPRODUCT(($G$2:$G$494=Supporto!$J$4)*($A$2:$A$494&gt;A135))+1,"")</f>
        <v/>
      </c>
    </row>
    <row r="136" customFormat="false" ht="15" hidden="false" customHeight="false" outlineLevel="0" collapsed="false">
      <c r="A136" s="39" t="n">
        <v>45951.5951388889</v>
      </c>
      <c r="B136" s="40" t="s">
        <v>38</v>
      </c>
      <c r="C136" s="41" t="s">
        <v>27</v>
      </c>
      <c r="D136" s="42" t="n">
        <v>101.11</v>
      </c>
      <c r="E136" s="43" t="n">
        <f aca="false">YEAR(A136)</f>
        <v>2025</v>
      </c>
      <c r="F136" s="43" t="n">
        <f aca="false">MONTH(A136)</f>
        <v>10</v>
      </c>
      <c r="G136" s="43" t="n">
        <f aca="false">E136*100+F136</f>
        <v>202510</v>
      </c>
      <c r="H136" s="43" t="str">
        <f aca="false">CHOOSE(F136,"Gen","Feb","Mar","Apr","Mag","Giu","Lug","Ago","Set","Ott","Nov","Dic")&amp;" "&amp;E136</f>
        <v>Ott 2025</v>
      </c>
      <c r="I136" s="43" t="n">
        <f aca="false">SUMPRODUCT(($A$2:$A$494&gt;A136)*1)+1</f>
        <v>359</v>
      </c>
      <c r="J136" s="43" t="str">
        <f aca="false">IF(G136=Supporto!$J$4,SUMPRODUCT(($G$2:$G$494=Supporto!$J$4)*($A$2:$A$494&gt;A136))+1,"")</f>
        <v/>
      </c>
    </row>
    <row r="137" customFormat="false" ht="15" hidden="false" customHeight="false" outlineLevel="0" collapsed="false">
      <c r="A137" s="39" t="n">
        <v>45952.5270833333</v>
      </c>
      <c r="B137" s="40" t="s">
        <v>28</v>
      </c>
      <c r="C137" s="41" t="s">
        <v>27</v>
      </c>
      <c r="D137" s="42" t="n">
        <v>113.22</v>
      </c>
      <c r="E137" s="43" t="n">
        <f aca="false">YEAR(A137)</f>
        <v>2025</v>
      </c>
      <c r="F137" s="43" t="n">
        <f aca="false">MONTH(A137)</f>
        <v>10</v>
      </c>
      <c r="G137" s="43" t="n">
        <f aca="false">E137*100+F137</f>
        <v>202510</v>
      </c>
      <c r="H137" s="43" t="str">
        <f aca="false">CHOOSE(F137,"Gen","Feb","Mar","Apr","Mag","Giu","Lug","Ago","Set","Ott","Nov","Dic")&amp;" "&amp;E137</f>
        <v>Ott 2025</v>
      </c>
      <c r="I137" s="43" t="n">
        <f aca="false">SUMPRODUCT(($A$2:$A$494&gt;A137)*1)+1</f>
        <v>358</v>
      </c>
      <c r="J137" s="43" t="str">
        <f aca="false">IF(G137=Supporto!$J$4,SUMPRODUCT(($G$2:$G$494=Supporto!$J$4)*($A$2:$A$494&gt;A137))+1,"")</f>
        <v/>
      </c>
    </row>
    <row r="138" customFormat="false" ht="15" hidden="false" customHeight="false" outlineLevel="0" collapsed="false">
      <c r="A138" s="39" t="n">
        <v>45952.7118055556</v>
      </c>
      <c r="B138" s="40" t="s">
        <v>34</v>
      </c>
      <c r="C138" s="41" t="s">
        <v>27</v>
      </c>
      <c r="D138" s="42" t="n">
        <v>3.67</v>
      </c>
      <c r="E138" s="43" t="n">
        <f aca="false">YEAR(A138)</f>
        <v>2025</v>
      </c>
      <c r="F138" s="43" t="n">
        <f aca="false">MONTH(A138)</f>
        <v>10</v>
      </c>
      <c r="G138" s="43" t="n">
        <f aca="false">E138*100+F138</f>
        <v>202510</v>
      </c>
      <c r="H138" s="43" t="str">
        <f aca="false">CHOOSE(F138,"Gen","Feb","Mar","Apr","Mag","Giu","Lug","Ago","Set","Ott","Nov","Dic")&amp;" "&amp;E138</f>
        <v>Ott 2025</v>
      </c>
      <c r="I138" s="43" t="n">
        <f aca="false">SUMPRODUCT(($A$2:$A$494&gt;A138)*1)+1</f>
        <v>357</v>
      </c>
      <c r="J138" s="43" t="str">
        <f aca="false">IF(G138=Supporto!$J$4,SUMPRODUCT(($G$2:$G$494=Supporto!$J$4)*($A$2:$A$494&gt;A138))+1,"")</f>
        <v/>
      </c>
    </row>
    <row r="139" customFormat="false" ht="15" hidden="false" customHeight="false" outlineLevel="0" collapsed="false">
      <c r="A139" s="39" t="n">
        <v>45953.4895833333</v>
      </c>
      <c r="B139" s="40" t="s">
        <v>36</v>
      </c>
      <c r="C139" s="41" t="s">
        <v>27</v>
      </c>
      <c r="D139" s="42" t="n">
        <v>46.22</v>
      </c>
      <c r="E139" s="43" t="n">
        <f aca="false">YEAR(A139)</f>
        <v>2025</v>
      </c>
      <c r="F139" s="43" t="n">
        <f aca="false">MONTH(A139)</f>
        <v>10</v>
      </c>
      <c r="G139" s="43" t="n">
        <f aca="false">E139*100+F139</f>
        <v>202510</v>
      </c>
      <c r="H139" s="43" t="str">
        <f aca="false">CHOOSE(F139,"Gen","Feb","Mar","Apr","Mag","Giu","Lug","Ago","Set","Ott","Nov","Dic")&amp;" "&amp;E139</f>
        <v>Ott 2025</v>
      </c>
      <c r="I139" s="43" t="n">
        <f aca="false">SUMPRODUCT(($A$2:$A$494&gt;A139)*1)+1</f>
        <v>356</v>
      </c>
      <c r="J139" s="43" t="str">
        <f aca="false">IF(G139=Supporto!$J$4,SUMPRODUCT(($G$2:$G$494=Supporto!$J$4)*($A$2:$A$494&gt;A139))+1,"")</f>
        <v/>
      </c>
    </row>
    <row r="140" customFormat="false" ht="15" hidden="false" customHeight="false" outlineLevel="0" collapsed="false">
      <c r="A140" s="39" t="n">
        <v>45953.8131944445</v>
      </c>
      <c r="B140" s="40" t="s">
        <v>26</v>
      </c>
      <c r="C140" s="41" t="s">
        <v>27</v>
      </c>
      <c r="D140" s="42" t="n">
        <v>40.2</v>
      </c>
      <c r="E140" s="43" t="n">
        <f aca="false">YEAR(A140)</f>
        <v>2025</v>
      </c>
      <c r="F140" s="43" t="n">
        <f aca="false">MONTH(A140)</f>
        <v>10</v>
      </c>
      <c r="G140" s="43" t="n">
        <f aca="false">E140*100+F140</f>
        <v>202510</v>
      </c>
      <c r="H140" s="43" t="str">
        <f aca="false">CHOOSE(F140,"Gen","Feb","Mar","Apr","Mag","Giu","Lug","Ago","Set","Ott","Nov","Dic")&amp;" "&amp;E140</f>
        <v>Ott 2025</v>
      </c>
      <c r="I140" s="43" t="n">
        <f aca="false">SUMPRODUCT(($A$2:$A$494&gt;A140)*1)+1</f>
        <v>355</v>
      </c>
      <c r="J140" s="43" t="str">
        <f aca="false">IF(G140=Supporto!$J$4,SUMPRODUCT(($G$2:$G$494=Supporto!$J$4)*($A$2:$A$494&gt;A140))+1,"")</f>
        <v/>
      </c>
    </row>
    <row r="141" customFormat="false" ht="15" hidden="false" customHeight="false" outlineLevel="0" collapsed="false">
      <c r="A141" s="39" t="n">
        <v>45954.5576388889</v>
      </c>
      <c r="B141" s="40" t="s">
        <v>29</v>
      </c>
      <c r="C141" s="41" t="s">
        <v>27</v>
      </c>
      <c r="D141" s="42" t="n">
        <v>3</v>
      </c>
      <c r="E141" s="43" t="n">
        <f aca="false">YEAR(A141)</f>
        <v>2025</v>
      </c>
      <c r="F141" s="43" t="n">
        <f aca="false">MONTH(A141)</f>
        <v>10</v>
      </c>
      <c r="G141" s="43" t="n">
        <f aca="false">E141*100+F141</f>
        <v>202510</v>
      </c>
      <c r="H141" s="43" t="str">
        <f aca="false">CHOOSE(F141,"Gen","Feb","Mar","Apr","Mag","Giu","Lug","Ago","Set","Ott","Nov","Dic")&amp;" "&amp;E141</f>
        <v>Ott 2025</v>
      </c>
      <c r="I141" s="43" t="n">
        <f aca="false">SUMPRODUCT(($A$2:$A$494&gt;A141)*1)+1</f>
        <v>354</v>
      </c>
      <c r="J141" s="43" t="str">
        <f aca="false">IF(G141=Supporto!$J$4,SUMPRODUCT(($G$2:$G$494=Supporto!$J$4)*($A$2:$A$494&gt;A141))+1,"")</f>
        <v/>
      </c>
    </row>
    <row r="142" customFormat="false" ht="15" hidden="false" customHeight="false" outlineLevel="0" collapsed="false">
      <c r="A142" s="39" t="n">
        <v>45955.3951388889</v>
      </c>
      <c r="B142" s="40" t="s">
        <v>26</v>
      </c>
      <c r="C142" s="41" t="s">
        <v>27</v>
      </c>
      <c r="D142" s="42" t="n">
        <v>4.99</v>
      </c>
      <c r="E142" s="43" t="n">
        <f aca="false">YEAR(A142)</f>
        <v>2025</v>
      </c>
      <c r="F142" s="43" t="n">
        <f aca="false">MONTH(A142)</f>
        <v>10</v>
      </c>
      <c r="G142" s="43" t="n">
        <f aca="false">E142*100+F142</f>
        <v>202510</v>
      </c>
      <c r="H142" s="43" t="str">
        <f aca="false">CHOOSE(F142,"Gen","Feb","Mar","Apr","Mag","Giu","Lug","Ago","Set","Ott","Nov","Dic")&amp;" "&amp;E142</f>
        <v>Ott 2025</v>
      </c>
      <c r="I142" s="43" t="n">
        <f aca="false">SUMPRODUCT(($A$2:$A$494&gt;A142)*1)+1</f>
        <v>353</v>
      </c>
      <c r="J142" s="43" t="str">
        <f aca="false">IF(G142=Supporto!$J$4,SUMPRODUCT(($G$2:$G$494=Supporto!$J$4)*($A$2:$A$494&gt;A142))+1,"")</f>
        <v/>
      </c>
    </row>
    <row r="143" customFormat="false" ht="15" hidden="false" customHeight="false" outlineLevel="0" collapsed="false">
      <c r="A143" s="39" t="n">
        <v>45956.5291666667</v>
      </c>
      <c r="B143" s="40" t="s">
        <v>34</v>
      </c>
      <c r="C143" s="41" t="s">
        <v>27</v>
      </c>
      <c r="D143" s="42" t="n">
        <v>34.35</v>
      </c>
      <c r="E143" s="43" t="n">
        <f aca="false">YEAR(A143)</f>
        <v>2025</v>
      </c>
      <c r="F143" s="43" t="n">
        <f aca="false">MONTH(A143)</f>
        <v>10</v>
      </c>
      <c r="G143" s="43" t="n">
        <f aca="false">E143*100+F143</f>
        <v>202510</v>
      </c>
      <c r="H143" s="43" t="str">
        <f aca="false">CHOOSE(F143,"Gen","Feb","Mar","Apr","Mag","Giu","Lug","Ago","Set","Ott","Nov","Dic")&amp;" "&amp;E143</f>
        <v>Ott 2025</v>
      </c>
      <c r="I143" s="43" t="n">
        <f aca="false">SUMPRODUCT(($A$2:$A$494&gt;A143)*1)+1</f>
        <v>352</v>
      </c>
      <c r="J143" s="43" t="str">
        <f aca="false">IF(G143=Supporto!$J$4,SUMPRODUCT(($G$2:$G$494=Supporto!$J$4)*($A$2:$A$494&gt;A143))+1,"")</f>
        <v/>
      </c>
    </row>
    <row r="144" customFormat="false" ht="15" hidden="false" customHeight="false" outlineLevel="0" collapsed="false">
      <c r="A144" s="39" t="n">
        <v>45957.375</v>
      </c>
      <c r="B144" s="40" t="s">
        <v>40</v>
      </c>
      <c r="C144" s="41" t="s">
        <v>32</v>
      </c>
      <c r="D144" s="42" t="n">
        <v>2271.68</v>
      </c>
      <c r="E144" s="43" t="n">
        <f aca="false">YEAR(A144)</f>
        <v>2025</v>
      </c>
      <c r="F144" s="43" t="n">
        <f aca="false">MONTH(A144)</f>
        <v>10</v>
      </c>
      <c r="G144" s="43" t="n">
        <f aca="false">E144*100+F144</f>
        <v>202510</v>
      </c>
      <c r="H144" s="43" t="str">
        <f aca="false">CHOOSE(F144,"Gen","Feb","Mar","Apr","Mag","Giu","Lug","Ago","Set","Ott","Nov","Dic")&amp;" "&amp;E144</f>
        <v>Ott 2025</v>
      </c>
      <c r="I144" s="43" t="n">
        <f aca="false">SUMPRODUCT(($A$2:$A$494&gt;A144)*1)+1</f>
        <v>351</v>
      </c>
      <c r="J144" s="43" t="str">
        <f aca="false">IF(G144=Supporto!$J$4,SUMPRODUCT(($G$2:$G$494=Supporto!$J$4)*($A$2:$A$494&gt;A144))+1,"")</f>
        <v/>
      </c>
    </row>
    <row r="145" customFormat="false" ht="15" hidden="false" customHeight="false" outlineLevel="0" collapsed="false">
      <c r="A145" s="39" t="n">
        <v>45957.3784722222</v>
      </c>
      <c r="B145" s="40" t="s">
        <v>41</v>
      </c>
      <c r="C145" s="41" t="s">
        <v>32</v>
      </c>
      <c r="D145" s="42" t="n">
        <v>1936.91</v>
      </c>
      <c r="E145" s="43" t="n">
        <f aca="false">YEAR(A145)</f>
        <v>2025</v>
      </c>
      <c r="F145" s="43" t="n">
        <f aca="false">MONTH(A145)</f>
        <v>10</v>
      </c>
      <c r="G145" s="43" t="n">
        <f aca="false">E145*100+F145</f>
        <v>202510</v>
      </c>
      <c r="H145" s="43" t="str">
        <f aca="false">CHOOSE(F145,"Gen","Feb","Mar","Apr","Mag","Giu","Lug","Ago","Set","Ott","Nov","Dic")&amp;" "&amp;E145</f>
        <v>Ott 2025</v>
      </c>
      <c r="I145" s="43" t="n">
        <f aca="false">SUMPRODUCT(($A$2:$A$494&gt;A145)*1)+1</f>
        <v>350</v>
      </c>
      <c r="J145" s="43" t="str">
        <f aca="false">IF(G145=Supporto!$J$4,SUMPRODUCT(($G$2:$G$494=Supporto!$J$4)*($A$2:$A$494&gt;A145))+1,"")</f>
        <v/>
      </c>
    </row>
    <row r="146" customFormat="false" ht="15" hidden="false" customHeight="false" outlineLevel="0" collapsed="false">
      <c r="A146" s="39" t="n">
        <v>45957.6131944444</v>
      </c>
      <c r="B146" s="40" t="s">
        <v>34</v>
      </c>
      <c r="C146" s="41" t="s">
        <v>27</v>
      </c>
      <c r="D146" s="42" t="n">
        <v>3</v>
      </c>
      <c r="E146" s="43" t="n">
        <f aca="false">YEAR(A146)</f>
        <v>2025</v>
      </c>
      <c r="F146" s="43" t="n">
        <f aca="false">MONTH(A146)</f>
        <v>10</v>
      </c>
      <c r="G146" s="43" t="n">
        <f aca="false">E146*100+F146</f>
        <v>202510</v>
      </c>
      <c r="H146" s="43" t="str">
        <f aca="false">CHOOSE(F146,"Gen","Feb","Mar","Apr","Mag","Giu","Lug","Ago","Set","Ott","Nov","Dic")&amp;" "&amp;E146</f>
        <v>Ott 2025</v>
      </c>
      <c r="I146" s="43" t="n">
        <f aca="false">SUMPRODUCT(($A$2:$A$494&gt;A146)*1)+1</f>
        <v>349</v>
      </c>
      <c r="J146" s="43" t="str">
        <f aca="false">IF(G146=Supporto!$J$4,SUMPRODUCT(($G$2:$G$494=Supporto!$J$4)*($A$2:$A$494&gt;A146))+1,"")</f>
        <v/>
      </c>
    </row>
    <row r="147" customFormat="false" ht="15" hidden="false" customHeight="false" outlineLevel="0" collapsed="false">
      <c r="A147" s="39" t="n">
        <v>45957.6590277778</v>
      </c>
      <c r="B147" s="40" t="s">
        <v>35</v>
      </c>
      <c r="C147" s="41" t="s">
        <v>27</v>
      </c>
      <c r="D147" s="42" t="n">
        <v>56.29</v>
      </c>
      <c r="E147" s="43" t="n">
        <f aca="false">YEAR(A147)</f>
        <v>2025</v>
      </c>
      <c r="F147" s="43" t="n">
        <f aca="false">MONTH(A147)</f>
        <v>10</v>
      </c>
      <c r="G147" s="43" t="n">
        <f aca="false">E147*100+F147</f>
        <v>202510</v>
      </c>
      <c r="H147" s="43" t="str">
        <f aca="false">CHOOSE(F147,"Gen","Feb","Mar","Apr","Mag","Giu","Lug","Ago","Set","Ott","Nov","Dic")&amp;" "&amp;E147</f>
        <v>Ott 2025</v>
      </c>
      <c r="I147" s="43" t="n">
        <f aca="false">SUMPRODUCT(($A$2:$A$494&gt;A147)*1)+1</f>
        <v>348</v>
      </c>
      <c r="J147" s="43" t="str">
        <f aca="false">IF(G147=Supporto!$J$4,SUMPRODUCT(($G$2:$G$494=Supporto!$J$4)*($A$2:$A$494&gt;A147))+1,"")</f>
        <v/>
      </c>
    </row>
    <row r="148" customFormat="false" ht="15" hidden="false" customHeight="false" outlineLevel="0" collapsed="false">
      <c r="A148" s="39" t="n">
        <v>45958.4486111111</v>
      </c>
      <c r="B148" s="40" t="s">
        <v>29</v>
      </c>
      <c r="C148" s="41" t="s">
        <v>27</v>
      </c>
      <c r="D148" s="42" t="n">
        <v>80</v>
      </c>
      <c r="E148" s="43" t="n">
        <f aca="false">YEAR(A148)</f>
        <v>2025</v>
      </c>
      <c r="F148" s="43" t="n">
        <f aca="false">MONTH(A148)</f>
        <v>10</v>
      </c>
      <c r="G148" s="43" t="n">
        <f aca="false">E148*100+F148</f>
        <v>202510</v>
      </c>
      <c r="H148" s="43" t="str">
        <f aca="false">CHOOSE(F148,"Gen","Feb","Mar","Apr","Mag","Giu","Lug","Ago","Set","Ott","Nov","Dic")&amp;" "&amp;E148</f>
        <v>Ott 2025</v>
      </c>
      <c r="I148" s="43" t="n">
        <f aca="false">SUMPRODUCT(($A$2:$A$494&gt;A148)*1)+1</f>
        <v>347</v>
      </c>
      <c r="J148" s="43" t="str">
        <f aca="false">IF(G148=Supporto!$J$4,SUMPRODUCT(($G$2:$G$494=Supporto!$J$4)*($A$2:$A$494&gt;A148))+1,"")</f>
        <v/>
      </c>
    </row>
    <row r="149" customFormat="false" ht="15" hidden="false" customHeight="false" outlineLevel="0" collapsed="false">
      <c r="A149" s="39" t="n">
        <v>45958.4506944444</v>
      </c>
      <c r="B149" s="40" t="s">
        <v>33</v>
      </c>
      <c r="C149" s="41" t="s">
        <v>27</v>
      </c>
      <c r="D149" s="42" t="n">
        <v>94.27</v>
      </c>
      <c r="E149" s="43" t="n">
        <f aca="false">YEAR(A149)</f>
        <v>2025</v>
      </c>
      <c r="F149" s="43" t="n">
        <f aca="false">MONTH(A149)</f>
        <v>10</v>
      </c>
      <c r="G149" s="43" t="n">
        <f aca="false">E149*100+F149</f>
        <v>202510</v>
      </c>
      <c r="H149" s="43" t="str">
        <f aca="false">CHOOSE(F149,"Gen","Feb","Mar","Apr","Mag","Giu","Lug","Ago","Set","Ott","Nov","Dic")&amp;" "&amp;E149</f>
        <v>Ott 2025</v>
      </c>
      <c r="I149" s="43" t="n">
        <f aca="false">SUMPRODUCT(($A$2:$A$494&gt;A149)*1)+1</f>
        <v>346</v>
      </c>
      <c r="J149" s="43" t="str">
        <f aca="false">IF(G149=Supporto!$J$4,SUMPRODUCT(($G$2:$G$494=Supporto!$J$4)*($A$2:$A$494&gt;A149))+1,"")</f>
        <v/>
      </c>
    </row>
    <row r="150" customFormat="false" ht="15" hidden="false" customHeight="false" outlineLevel="0" collapsed="false">
      <c r="A150" s="39" t="n">
        <v>45962.3486111111</v>
      </c>
      <c r="B150" s="40" t="s">
        <v>34</v>
      </c>
      <c r="C150" s="41" t="s">
        <v>27</v>
      </c>
      <c r="D150" s="42" t="n">
        <v>3</v>
      </c>
      <c r="E150" s="43" t="n">
        <f aca="false">YEAR(A150)</f>
        <v>2025</v>
      </c>
      <c r="F150" s="43" t="n">
        <f aca="false">MONTH(A150)</f>
        <v>11</v>
      </c>
      <c r="G150" s="43" t="n">
        <f aca="false">E150*100+F150</f>
        <v>202511</v>
      </c>
      <c r="H150" s="43" t="str">
        <f aca="false">CHOOSE(F150,"Gen","Feb","Mar","Apr","Mag","Giu","Lug","Ago","Set","Ott","Nov","Dic")&amp;" "&amp;E150</f>
        <v>Nov 2025</v>
      </c>
      <c r="I150" s="43" t="n">
        <f aca="false">SUMPRODUCT(($A$2:$A$494&gt;A150)*1)+1</f>
        <v>345</v>
      </c>
      <c r="J150" s="43" t="str">
        <f aca="false">IF(G150=Supporto!$J$4,SUMPRODUCT(($G$2:$G$494=Supporto!$J$4)*($A$2:$A$494&gt;A150))+1,"")</f>
        <v/>
      </c>
    </row>
    <row r="151" customFormat="false" ht="15" hidden="false" customHeight="false" outlineLevel="0" collapsed="false">
      <c r="A151" s="39" t="n">
        <v>45962.5916666667</v>
      </c>
      <c r="B151" s="40" t="s">
        <v>34</v>
      </c>
      <c r="C151" s="41" t="s">
        <v>27</v>
      </c>
      <c r="D151" s="42" t="n">
        <v>11.38</v>
      </c>
      <c r="E151" s="43" t="n">
        <f aca="false">YEAR(A151)</f>
        <v>2025</v>
      </c>
      <c r="F151" s="43" t="n">
        <f aca="false">MONTH(A151)</f>
        <v>11</v>
      </c>
      <c r="G151" s="43" t="n">
        <f aca="false">E151*100+F151</f>
        <v>202511</v>
      </c>
      <c r="H151" s="43" t="str">
        <f aca="false">CHOOSE(F151,"Gen","Feb","Mar","Apr","Mag","Giu","Lug","Ago","Set","Ott","Nov","Dic")&amp;" "&amp;E151</f>
        <v>Nov 2025</v>
      </c>
      <c r="I151" s="43" t="n">
        <f aca="false">SUMPRODUCT(($A$2:$A$494&gt;A151)*1)+1</f>
        <v>344</v>
      </c>
      <c r="J151" s="43" t="str">
        <f aca="false">IF(G151=Supporto!$J$4,SUMPRODUCT(($G$2:$G$494=Supporto!$J$4)*($A$2:$A$494&gt;A151))+1,"")</f>
        <v/>
      </c>
    </row>
    <row r="152" customFormat="false" ht="15" hidden="false" customHeight="false" outlineLevel="0" collapsed="false">
      <c r="A152" s="39" t="n">
        <v>45965.3326388889</v>
      </c>
      <c r="B152" s="40" t="s">
        <v>26</v>
      </c>
      <c r="C152" s="41" t="s">
        <v>27</v>
      </c>
      <c r="D152" s="42" t="n">
        <v>12.95</v>
      </c>
      <c r="E152" s="43" t="n">
        <f aca="false">YEAR(A152)</f>
        <v>2025</v>
      </c>
      <c r="F152" s="43" t="n">
        <f aca="false">MONTH(A152)</f>
        <v>11</v>
      </c>
      <c r="G152" s="43" t="n">
        <f aca="false">E152*100+F152</f>
        <v>202511</v>
      </c>
      <c r="H152" s="43" t="str">
        <f aca="false">CHOOSE(F152,"Gen","Feb","Mar","Apr","Mag","Giu","Lug","Ago","Set","Ott","Nov","Dic")&amp;" "&amp;E152</f>
        <v>Nov 2025</v>
      </c>
      <c r="I152" s="43" t="n">
        <f aca="false">SUMPRODUCT(($A$2:$A$494&gt;A152)*1)+1</f>
        <v>343</v>
      </c>
      <c r="J152" s="43" t="str">
        <f aca="false">IF(G152=Supporto!$J$4,SUMPRODUCT(($G$2:$G$494=Supporto!$J$4)*($A$2:$A$494&gt;A152))+1,"")</f>
        <v/>
      </c>
    </row>
    <row r="153" customFormat="false" ht="15" hidden="false" customHeight="false" outlineLevel="0" collapsed="false">
      <c r="A153" s="39" t="n">
        <v>45966.3319444444</v>
      </c>
      <c r="B153" s="40" t="s">
        <v>28</v>
      </c>
      <c r="C153" s="41" t="s">
        <v>27</v>
      </c>
      <c r="D153" s="42" t="n">
        <v>591.82</v>
      </c>
      <c r="E153" s="43" t="n">
        <f aca="false">YEAR(A153)</f>
        <v>2025</v>
      </c>
      <c r="F153" s="43" t="n">
        <f aca="false">MONTH(A153)</f>
        <v>11</v>
      </c>
      <c r="G153" s="43" t="n">
        <f aca="false">E153*100+F153</f>
        <v>202511</v>
      </c>
      <c r="H153" s="43" t="str">
        <f aca="false">CHOOSE(F153,"Gen","Feb","Mar","Apr","Mag","Giu","Lug","Ago","Set","Ott","Nov","Dic")&amp;" "&amp;E153</f>
        <v>Nov 2025</v>
      </c>
      <c r="I153" s="43" t="n">
        <f aca="false">SUMPRODUCT(($A$2:$A$494&gt;A153)*1)+1</f>
        <v>342</v>
      </c>
      <c r="J153" s="43" t="str">
        <f aca="false">IF(G153=Supporto!$J$4,SUMPRODUCT(($G$2:$G$494=Supporto!$J$4)*($A$2:$A$494&gt;A153))+1,"")</f>
        <v/>
      </c>
    </row>
    <row r="154" customFormat="false" ht="15" hidden="false" customHeight="false" outlineLevel="0" collapsed="false">
      <c r="A154" s="39" t="n">
        <v>45966.8409722222</v>
      </c>
      <c r="B154" s="40" t="s">
        <v>30</v>
      </c>
      <c r="C154" s="41" t="s">
        <v>27</v>
      </c>
      <c r="D154" s="42" t="n">
        <v>109.08</v>
      </c>
      <c r="E154" s="43" t="n">
        <f aca="false">YEAR(A154)</f>
        <v>2025</v>
      </c>
      <c r="F154" s="43" t="n">
        <f aca="false">MONTH(A154)</f>
        <v>11</v>
      </c>
      <c r="G154" s="43" t="n">
        <f aca="false">E154*100+F154</f>
        <v>202511</v>
      </c>
      <c r="H154" s="43" t="str">
        <f aca="false">CHOOSE(F154,"Gen","Feb","Mar","Apr","Mag","Giu","Lug","Ago","Set","Ott","Nov","Dic")&amp;" "&amp;E154</f>
        <v>Nov 2025</v>
      </c>
      <c r="I154" s="43" t="n">
        <f aca="false">SUMPRODUCT(($A$2:$A$494&gt;A154)*1)+1</f>
        <v>341</v>
      </c>
      <c r="J154" s="43" t="str">
        <f aca="false">IF(G154=Supporto!$J$4,SUMPRODUCT(($G$2:$G$494=Supporto!$J$4)*($A$2:$A$494&gt;A154))+1,"")</f>
        <v/>
      </c>
    </row>
    <row r="155" customFormat="false" ht="15" hidden="false" customHeight="false" outlineLevel="0" collapsed="false">
      <c r="A155" s="39" t="n">
        <v>45967.4506944444</v>
      </c>
      <c r="B155" s="40" t="s">
        <v>26</v>
      </c>
      <c r="C155" s="41" t="s">
        <v>27</v>
      </c>
      <c r="D155" s="42" t="n">
        <v>24.93</v>
      </c>
      <c r="E155" s="43" t="n">
        <f aca="false">YEAR(A155)</f>
        <v>2025</v>
      </c>
      <c r="F155" s="43" t="n">
        <f aca="false">MONTH(A155)</f>
        <v>11</v>
      </c>
      <c r="G155" s="43" t="n">
        <f aca="false">E155*100+F155</f>
        <v>202511</v>
      </c>
      <c r="H155" s="43" t="str">
        <f aca="false">CHOOSE(F155,"Gen","Feb","Mar","Apr","Mag","Giu","Lug","Ago","Set","Ott","Nov","Dic")&amp;" "&amp;E155</f>
        <v>Nov 2025</v>
      </c>
      <c r="I155" s="43" t="n">
        <f aca="false">SUMPRODUCT(($A$2:$A$494&gt;A155)*1)+1</f>
        <v>340</v>
      </c>
      <c r="J155" s="43" t="str">
        <f aca="false">IF(G155=Supporto!$J$4,SUMPRODUCT(($G$2:$G$494=Supporto!$J$4)*($A$2:$A$494&gt;A155))+1,"")</f>
        <v/>
      </c>
    </row>
    <row r="156" customFormat="false" ht="15" hidden="false" customHeight="false" outlineLevel="0" collapsed="false">
      <c r="A156" s="39" t="n">
        <v>45969.4090277778</v>
      </c>
      <c r="B156" s="40" t="s">
        <v>34</v>
      </c>
      <c r="C156" s="41" t="s">
        <v>27</v>
      </c>
      <c r="D156" s="42" t="n">
        <v>11.08</v>
      </c>
      <c r="E156" s="43" t="n">
        <f aca="false">YEAR(A156)</f>
        <v>2025</v>
      </c>
      <c r="F156" s="43" t="n">
        <f aca="false">MONTH(A156)</f>
        <v>11</v>
      </c>
      <c r="G156" s="43" t="n">
        <f aca="false">E156*100+F156</f>
        <v>202511</v>
      </c>
      <c r="H156" s="43" t="str">
        <f aca="false">CHOOSE(F156,"Gen","Feb","Mar","Apr","Mag","Giu","Lug","Ago","Set","Ott","Nov","Dic")&amp;" "&amp;E156</f>
        <v>Nov 2025</v>
      </c>
      <c r="I156" s="43" t="n">
        <f aca="false">SUMPRODUCT(($A$2:$A$494&gt;A156)*1)+1</f>
        <v>339</v>
      </c>
      <c r="J156" s="43" t="str">
        <f aca="false">IF(G156=Supporto!$J$4,SUMPRODUCT(($G$2:$G$494=Supporto!$J$4)*($A$2:$A$494&gt;A156))+1,"")</f>
        <v/>
      </c>
    </row>
    <row r="157" customFormat="false" ht="15" hidden="false" customHeight="false" outlineLevel="0" collapsed="false">
      <c r="A157" s="39" t="n">
        <v>45969.64375</v>
      </c>
      <c r="B157" s="40" t="s">
        <v>29</v>
      </c>
      <c r="C157" s="41" t="s">
        <v>27</v>
      </c>
      <c r="D157" s="42" t="n">
        <v>52.94</v>
      </c>
      <c r="E157" s="43" t="n">
        <f aca="false">YEAR(A157)</f>
        <v>2025</v>
      </c>
      <c r="F157" s="43" t="n">
        <f aca="false">MONTH(A157)</f>
        <v>11</v>
      </c>
      <c r="G157" s="43" t="n">
        <f aca="false">E157*100+F157</f>
        <v>202511</v>
      </c>
      <c r="H157" s="43" t="str">
        <f aca="false">CHOOSE(F157,"Gen","Feb","Mar","Apr","Mag","Giu","Lug","Ago","Set","Ott","Nov","Dic")&amp;" "&amp;E157</f>
        <v>Nov 2025</v>
      </c>
      <c r="I157" s="43" t="n">
        <f aca="false">SUMPRODUCT(($A$2:$A$494&gt;A157)*1)+1</f>
        <v>338</v>
      </c>
      <c r="J157" s="43" t="str">
        <f aca="false">IF(G157=Supporto!$J$4,SUMPRODUCT(($G$2:$G$494=Supporto!$J$4)*($A$2:$A$494&gt;A157))+1,"")</f>
        <v/>
      </c>
    </row>
    <row r="158" customFormat="false" ht="15" hidden="false" customHeight="false" outlineLevel="0" collapsed="false">
      <c r="A158" s="39" t="n">
        <v>45970.6493055556</v>
      </c>
      <c r="B158" s="40" t="s">
        <v>36</v>
      </c>
      <c r="C158" s="41" t="s">
        <v>27</v>
      </c>
      <c r="D158" s="42" t="n">
        <v>54.62</v>
      </c>
      <c r="E158" s="43" t="n">
        <f aca="false">YEAR(A158)</f>
        <v>2025</v>
      </c>
      <c r="F158" s="43" t="n">
        <f aca="false">MONTH(A158)</f>
        <v>11</v>
      </c>
      <c r="G158" s="43" t="n">
        <f aca="false">E158*100+F158</f>
        <v>202511</v>
      </c>
      <c r="H158" s="43" t="str">
        <f aca="false">CHOOSE(F158,"Gen","Feb","Mar","Apr","Mag","Giu","Lug","Ago","Set","Ott","Nov","Dic")&amp;" "&amp;E158</f>
        <v>Nov 2025</v>
      </c>
      <c r="I158" s="43" t="n">
        <f aca="false">SUMPRODUCT(($A$2:$A$494&gt;A158)*1)+1</f>
        <v>337</v>
      </c>
      <c r="J158" s="43" t="str">
        <f aca="false">IF(G158=Supporto!$J$4,SUMPRODUCT(($G$2:$G$494=Supporto!$J$4)*($A$2:$A$494&gt;A158))+1,"")</f>
        <v/>
      </c>
    </row>
    <row r="159" customFormat="false" ht="15" hidden="false" customHeight="false" outlineLevel="0" collapsed="false">
      <c r="A159" s="39" t="n">
        <v>45970.8854166667</v>
      </c>
      <c r="B159" s="40" t="s">
        <v>35</v>
      </c>
      <c r="C159" s="41" t="s">
        <v>27</v>
      </c>
      <c r="D159" s="42" t="n">
        <v>139.24</v>
      </c>
      <c r="E159" s="43" t="n">
        <f aca="false">YEAR(A159)</f>
        <v>2025</v>
      </c>
      <c r="F159" s="43" t="n">
        <f aca="false">MONTH(A159)</f>
        <v>11</v>
      </c>
      <c r="G159" s="43" t="n">
        <f aca="false">E159*100+F159</f>
        <v>202511</v>
      </c>
      <c r="H159" s="43" t="str">
        <f aca="false">CHOOSE(F159,"Gen","Feb","Mar","Apr","Mag","Giu","Lug","Ago","Set","Ott","Nov","Dic")&amp;" "&amp;E159</f>
        <v>Nov 2025</v>
      </c>
      <c r="I159" s="43" t="n">
        <f aca="false">SUMPRODUCT(($A$2:$A$494&gt;A159)*1)+1</f>
        <v>336</v>
      </c>
      <c r="J159" s="43" t="str">
        <f aca="false">IF(G159=Supporto!$J$4,SUMPRODUCT(($G$2:$G$494=Supporto!$J$4)*($A$2:$A$494&gt;A159))+1,"")</f>
        <v/>
      </c>
    </row>
    <row r="160" customFormat="false" ht="15" hidden="false" customHeight="false" outlineLevel="0" collapsed="false">
      <c r="A160" s="39" t="n">
        <v>45971.8090277778</v>
      </c>
      <c r="B160" s="40" t="s">
        <v>26</v>
      </c>
      <c r="C160" s="41" t="s">
        <v>27</v>
      </c>
      <c r="D160" s="42" t="n">
        <v>68.33</v>
      </c>
      <c r="E160" s="43" t="n">
        <f aca="false">YEAR(A160)</f>
        <v>2025</v>
      </c>
      <c r="F160" s="43" t="n">
        <f aca="false">MONTH(A160)</f>
        <v>11</v>
      </c>
      <c r="G160" s="43" t="n">
        <f aca="false">E160*100+F160</f>
        <v>202511</v>
      </c>
      <c r="H160" s="43" t="str">
        <f aca="false">CHOOSE(F160,"Gen","Feb","Mar","Apr","Mag","Giu","Lug","Ago","Set","Ott","Nov","Dic")&amp;" "&amp;E160</f>
        <v>Nov 2025</v>
      </c>
      <c r="I160" s="43" t="n">
        <f aca="false">SUMPRODUCT(($A$2:$A$494&gt;A160)*1)+1</f>
        <v>335</v>
      </c>
      <c r="J160" s="43" t="str">
        <f aca="false">IF(G160=Supporto!$J$4,SUMPRODUCT(($G$2:$G$494=Supporto!$J$4)*($A$2:$A$494&gt;A160))+1,"")</f>
        <v/>
      </c>
    </row>
    <row r="161" customFormat="false" ht="15" hidden="false" customHeight="false" outlineLevel="0" collapsed="false">
      <c r="A161" s="39" t="n">
        <v>45972.3131944445</v>
      </c>
      <c r="B161" s="40" t="s">
        <v>38</v>
      </c>
      <c r="C161" s="41" t="s">
        <v>27</v>
      </c>
      <c r="D161" s="42" t="n">
        <v>100.02</v>
      </c>
      <c r="E161" s="43" t="n">
        <f aca="false">YEAR(A161)</f>
        <v>2025</v>
      </c>
      <c r="F161" s="43" t="n">
        <f aca="false">MONTH(A161)</f>
        <v>11</v>
      </c>
      <c r="G161" s="43" t="n">
        <f aca="false">E161*100+F161</f>
        <v>202511</v>
      </c>
      <c r="H161" s="43" t="str">
        <f aca="false">CHOOSE(F161,"Gen","Feb","Mar","Apr","Mag","Giu","Lug","Ago","Set","Ott","Nov","Dic")&amp;" "&amp;E161</f>
        <v>Nov 2025</v>
      </c>
      <c r="I161" s="43" t="n">
        <f aca="false">SUMPRODUCT(($A$2:$A$494&gt;A161)*1)+1</f>
        <v>334</v>
      </c>
      <c r="J161" s="43" t="str">
        <f aca="false">IF(G161=Supporto!$J$4,SUMPRODUCT(($G$2:$G$494=Supporto!$J$4)*($A$2:$A$494&gt;A161))+1,"")</f>
        <v/>
      </c>
    </row>
    <row r="162" customFormat="false" ht="15" hidden="false" customHeight="false" outlineLevel="0" collapsed="false">
      <c r="A162" s="39" t="n">
        <v>45973.6395833333</v>
      </c>
      <c r="B162" s="40" t="s">
        <v>36</v>
      </c>
      <c r="C162" s="41" t="s">
        <v>27</v>
      </c>
      <c r="D162" s="42" t="n">
        <v>51.97</v>
      </c>
      <c r="E162" s="43" t="n">
        <f aca="false">YEAR(A162)</f>
        <v>2025</v>
      </c>
      <c r="F162" s="43" t="n">
        <f aca="false">MONTH(A162)</f>
        <v>11</v>
      </c>
      <c r="G162" s="43" t="n">
        <f aca="false">E162*100+F162</f>
        <v>202511</v>
      </c>
      <c r="H162" s="43" t="str">
        <f aca="false">CHOOSE(F162,"Gen","Feb","Mar","Apr","Mag","Giu","Lug","Ago","Set","Ott","Nov","Dic")&amp;" "&amp;E162</f>
        <v>Nov 2025</v>
      </c>
      <c r="I162" s="43" t="n">
        <f aca="false">SUMPRODUCT(($A$2:$A$494&gt;A162)*1)+1</f>
        <v>333</v>
      </c>
      <c r="J162" s="43" t="str">
        <f aca="false">IF(G162=Supporto!$J$4,SUMPRODUCT(($G$2:$G$494=Supporto!$J$4)*($A$2:$A$494&gt;A162))+1,"")</f>
        <v/>
      </c>
    </row>
    <row r="163" customFormat="false" ht="15" hidden="false" customHeight="false" outlineLevel="0" collapsed="false">
      <c r="A163" s="39" t="n">
        <v>45973.7</v>
      </c>
      <c r="B163" s="40" t="s">
        <v>29</v>
      </c>
      <c r="C163" s="41" t="s">
        <v>27</v>
      </c>
      <c r="D163" s="42" t="n">
        <v>3.42</v>
      </c>
      <c r="E163" s="43" t="n">
        <f aca="false">YEAR(A163)</f>
        <v>2025</v>
      </c>
      <c r="F163" s="43" t="n">
        <f aca="false">MONTH(A163)</f>
        <v>11</v>
      </c>
      <c r="G163" s="43" t="n">
        <f aca="false">E163*100+F163</f>
        <v>202511</v>
      </c>
      <c r="H163" s="43" t="str">
        <f aca="false">CHOOSE(F163,"Gen","Feb","Mar","Apr","Mag","Giu","Lug","Ago","Set","Ott","Nov","Dic")&amp;" "&amp;E163</f>
        <v>Nov 2025</v>
      </c>
      <c r="I163" s="43" t="n">
        <f aca="false">SUMPRODUCT(($A$2:$A$494&gt;A163)*1)+1</f>
        <v>332</v>
      </c>
      <c r="J163" s="43" t="str">
        <f aca="false">IF(G163=Supporto!$J$4,SUMPRODUCT(($G$2:$G$494=Supporto!$J$4)*($A$2:$A$494&gt;A163))+1,"")</f>
        <v/>
      </c>
    </row>
    <row r="164" customFormat="false" ht="15" hidden="false" customHeight="false" outlineLevel="0" collapsed="false">
      <c r="A164" s="39" t="n">
        <v>45973.90625</v>
      </c>
      <c r="B164" s="40" t="s">
        <v>30</v>
      </c>
      <c r="C164" s="41" t="s">
        <v>27</v>
      </c>
      <c r="D164" s="42" t="n">
        <v>12.87</v>
      </c>
      <c r="E164" s="43" t="n">
        <f aca="false">YEAR(A164)</f>
        <v>2025</v>
      </c>
      <c r="F164" s="43" t="n">
        <f aca="false">MONTH(A164)</f>
        <v>11</v>
      </c>
      <c r="G164" s="43" t="n">
        <f aca="false">E164*100+F164</f>
        <v>202511</v>
      </c>
      <c r="H164" s="43" t="str">
        <f aca="false">CHOOSE(F164,"Gen","Feb","Mar","Apr","Mag","Giu","Lug","Ago","Set","Ott","Nov","Dic")&amp;" "&amp;E164</f>
        <v>Nov 2025</v>
      </c>
      <c r="I164" s="43" t="n">
        <f aca="false">SUMPRODUCT(($A$2:$A$494&gt;A164)*1)+1</f>
        <v>331</v>
      </c>
      <c r="J164" s="43" t="str">
        <f aca="false">IF(G164=Supporto!$J$4,SUMPRODUCT(($G$2:$G$494=Supporto!$J$4)*($A$2:$A$494&gt;A164))+1,"")</f>
        <v/>
      </c>
    </row>
    <row r="165" customFormat="false" ht="15" hidden="false" customHeight="false" outlineLevel="0" collapsed="false">
      <c r="A165" s="39" t="n">
        <v>45974.2951388889</v>
      </c>
      <c r="B165" s="40" t="s">
        <v>28</v>
      </c>
      <c r="C165" s="41" t="s">
        <v>27</v>
      </c>
      <c r="D165" s="42" t="n">
        <v>60.44</v>
      </c>
      <c r="E165" s="43" t="n">
        <f aca="false">YEAR(A165)</f>
        <v>2025</v>
      </c>
      <c r="F165" s="43" t="n">
        <f aca="false">MONTH(A165)</f>
        <v>11</v>
      </c>
      <c r="G165" s="43" t="n">
        <f aca="false">E165*100+F165</f>
        <v>202511</v>
      </c>
      <c r="H165" s="43" t="str">
        <f aca="false">CHOOSE(F165,"Gen","Feb","Mar","Apr","Mag","Giu","Lug","Ago","Set","Ott","Nov","Dic")&amp;" "&amp;E165</f>
        <v>Nov 2025</v>
      </c>
      <c r="I165" s="43" t="n">
        <f aca="false">SUMPRODUCT(($A$2:$A$494&gt;A165)*1)+1</f>
        <v>330</v>
      </c>
      <c r="J165" s="43" t="str">
        <f aca="false">IF(G165=Supporto!$J$4,SUMPRODUCT(($G$2:$G$494=Supporto!$J$4)*($A$2:$A$494&gt;A165))+1,"")</f>
        <v/>
      </c>
    </row>
    <row r="166" customFormat="false" ht="15" hidden="false" customHeight="false" outlineLevel="0" collapsed="false">
      <c r="A166" s="39" t="n">
        <v>45974.8569444444</v>
      </c>
      <c r="B166" s="40" t="s">
        <v>29</v>
      </c>
      <c r="C166" s="41" t="s">
        <v>27</v>
      </c>
      <c r="D166" s="42" t="n">
        <v>217.53</v>
      </c>
      <c r="E166" s="43" t="n">
        <f aca="false">YEAR(A166)</f>
        <v>2025</v>
      </c>
      <c r="F166" s="43" t="n">
        <f aca="false">MONTH(A166)</f>
        <v>11</v>
      </c>
      <c r="G166" s="43" t="n">
        <f aca="false">E166*100+F166</f>
        <v>202511</v>
      </c>
      <c r="H166" s="43" t="str">
        <f aca="false">CHOOSE(F166,"Gen","Feb","Mar","Apr","Mag","Giu","Lug","Ago","Set","Ott","Nov","Dic")&amp;" "&amp;E166</f>
        <v>Nov 2025</v>
      </c>
      <c r="I166" s="43" t="n">
        <f aca="false">SUMPRODUCT(($A$2:$A$494&gt;A166)*1)+1</f>
        <v>329</v>
      </c>
      <c r="J166" s="43" t="str">
        <f aca="false">IF(G166=Supporto!$J$4,SUMPRODUCT(($G$2:$G$494=Supporto!$J$4)*($A$2:$A$494&gt;A166))+1,"")</f>
        <v/>
      </c>
    </row>
    <row r="167" customFormat="false" ht="15" hidden="false" customHeight="false" outlineLevel="0" collapsed="false">
      <c r="A167" s="39" t="n">
        <v>45975.6388888889</v>
      </c>
      <c r="B167" s="40" t="s">
        <v>39</v>
      </c>
      <c r="C167" s="41" t="s">
        <v>27</v>
      </c>
      <c r="D167" s="42" t="n">
        <v>27.41</v>
      </c>
      <c r="E167" s="43" t="n">
        <f aca="false">YEAR(A167)</f>
        <v>2025</v>
      </c>
      <c r="F167" s="43" t="n">
        <f aca="false">MONTH(A167)</f>
        <v>11</v>
      </c>
      <c r="G167" s="43" t="n">
        <f aca="false">E167*100+F167</f>
        <v>202511</v>
      </c>
      <c r="H167" s="43" t="str">
        <f aca="false">CHOOSE(F167,"Gen","Feb","Mar","Apr","Mag","Giu","Lug","Ago","Set","Ott","Nov","Dic")&amp;" "&amp;E167</f>
        <v>Nov 2025</v>
      </c>
      <c r="I167" s="43" t="n">
        <f aca="false">SUMPRODUCT(($A$2:$A$494&gt;A167)*1)+1</f>
        <v>328</v>
      </c>
      <c r="J167" s="43" t="str">
        <f aca="false">IF(G167=Supporto!$J$4,SUMPRODUCT(($G$2:$G$494=Supporto!$J$4)*($A$2:$A$494&gt;A167))+1,"")</f>
        <v/>
      </c>
    </row>
    <row r="168" customFormat="false" ht="15" hidden="false" customHeight="false" outlineLevel="0" collapsed="false">
      <c r="A168" s="39" t="n">
        <v>45975.7527777778</v>
      </c>
      <c r="B168" s="40" t="s">
        <v>33</v>
      </c>
      <c r="C168" s="41" t="s">
        <v>27</v>
      </c>
      <c r="D168" s="42" t="n">
        <v>48.05</v>
      </c>
      <c r="E168" s="43" t="n">
        <f aca="false">YEAR(A168)</f>
        <v>2025</v>
      </c>
      <c r="F168" s="43" t="n">
        <f aca="false">MONTH(A168)</f>
        <v>11</v>
      </c>
      <c r="G168" s="43" t="n">
        <f aca="false">E168*100+F168</f>
        <v>202511</v>
      </c>
      <c r="H168" s="43" t="str">
        <f aca="false">CHOOSE(F168,"Gen","Feb","Mar","Apr","Mag","Giu","Lug","Ago","Set","Ott","Nov","Dic")&amp;" "&amp;E168</f>
        <v>Nov 2025</v>
      </c>
      <c r="I168" s="43" t="n">
        <f aca="false">SUMPRODUCT(($A$2:$A$494&gt;A168)*1)+1</f>
        <v>327</v>
      </c>
      <c r="J168" s="43" t="str">
        <f aca="false">IF(G168=Supporto!$J$4,SUMPRODUCT(($G$2:$G$494=Supporto!$J$4)*($A$2:$A$494&gt;A168))+1,"")</f>
        <v/>
      </c>
    </row>
    <row r="169" customFormat="false" ht="15" hidden="false" customHeight="false" outlineLevel="0" collapsed="false">
      <c r="A169" s="39" t="n">
        <v>45975.8333333333</v>
      </c>
      <c r="B169" s="40" t="s">
        <v>37</v>
      </c>
      <c r="C169" s="41" t="s">
        <v>32</v>
      </c>
      <c r="D169" s="42" t="n">
        <v>185.16</v>
      </c>
      <c r="E169" s="43" t="n">
        <f aca="false">YEAR(A169)</f>
        <v>2025</v>
      </c>
      <c r="F169" s="43" t="n">
        <f aca="false">MONTH(A169)</f>
        <v>11</v>
      </c>
      <c r="G169" s="43" t="n">
        <f aca="false">E169*100+F169</f>
        <v>202511</v>
      </c>
      <c r="H169" s="43" t="str">
        <f aca="false">CHOOSE(F169,"Gen","Feb","Mar","Apr","Mag","Giu","Lug","Ago","Set","Ott","Nov","Dic")&amp;" "&amp;E169</f>
        <v>Nov 2025</v>
      </c>
      <c r="I169" s="43" t="n">
        <f aca="false">SUMPRODUCT(($A$2:$A$494&gt;A169)*1)+1</f>
        <v>326</v>
      </c>
      <c r="J169" s="43" t="str">
        <f aca="false">IF(G169=Supporto!$J$4,SUMPRODUCT(($G$2:$G$494=Supporto!$J$4)*($A$2:$A$494&gt;A169))+1,"")</f>
        <v/>
      </c>
    </row>
    <row r="170" customFormat="false" ht="15" hidden="false" customHeight="false" outlineLevel="0" collapsed="false">
      <c r="A170" s="39" t="n">
        <v>45976.7708333333</v>
      </c>
      <c r="B170" s="40" t="s">
        <v>31</v>
      </c>
      <c r="C170" s="41" t="s">
        <v>32</v>
      </c>
      <c r="D170" s="42" t="n">
        <v>84.05</v>
      </c>
      <c r="E170" s="43" t="n">
        <f aca="false">YEAR(A170)</f>
        <v>2025</v>
      </c>
      <c r="F170" s="43" t="n">
        <f aca="false">MONTH(A170)</f>
        <v>11</v>
      </c>
      <c r="G170" s="43" t="n">
        <f aca="false">E170*100+F170</f>
        <v>202511</v>
      </c>
      <c r="H170" s="43" t="str">
        <f aca="false">CHOOSE(F170,"Gen","Feb","Mar","Apr","Mag","Giu","Lug","Ago","Set","Ott","Nov","Dic")&amp;" "&amp;E170</f>
        <v>Nov 2025</v>
      </c>
      <c r="I170" s="43" t="n">
        <f aca="false">SUMPRODUCT(($A$2:$A$494&gt;A170)*1)+1</f>
        <v>325</v>
      </c>
      <c r="J170" s="43" t="str">
        <f aca="false">IF(G170=Supporto!$J$4,SUMPRODUCT(($G$2:$G$494=Supporto!$J$4)*($A$2:$A$494&gt;A170))+1,"")</f>
        <v/>
      </c>
    </row>
    <row r="171" customFormat="false" ht="15" hidden="false" customHeight="false" outlineLevel="0" collapsed="false">
      <c r="A171" s="39" t="n">
        <v>45977.3083333333</v>
      </c>
      <c r="B171" s="40" t="s">
        <v>29</v>
      </c>
      <c r="C171" s="41" t="s">
        <v>27</v>
      </c>
      <c r="D171" s="42" t="n">
        <v>83.22</v>
      </c>
      <c r="E171" s="43" t="n">
        <f aca="false">YEAR(A171)</f>
        <v>2025</v>
      </c>
      <c r="F171" s="43" t="n">
        <f aca="false">MONTH(A171)</f>
        <v>11</v>
      </c>
      <c r="G171" s="43" t="n">
        <f aca="false">E171*100+F171</f>
        <v>202511</v>
      </c>
      <c r="H171" s="43" t="str">
        <f aca="false">CHOOSE(F171,"Gen","Feb","Mar","Apr","Mag","Giu","Lug","Ago","Set","Ott","Nov","Dic")&amp;" "&amp;E171</f>
        <v>Nov 2025</v>
      </c>
      <c r="I171" s="43" t="n">
        <f aca="false">SUMPRODUCT(($A$2:$A$494&gt;A171)*1)+1</f>
        <v>324</v>
      </c>
      <c r="J171" s="43" t="str">
        <f aca="false">IF(G171=Supporto!$J$4,SUMPRODUCT(($G$2:$G$494=Supporto!$J$4)*($A$2:$A$494&gt;A171))+1,"")</f>
        <v/>
      </c>
    </row>
    <row r="172" customFormat="false" ht="15" hidden="false" customHeight="false" outlineLevel="0" collapsed="false">
      <c r="A172" s="39" t="n">
        <v>45978.7083333333</v>
      </c>
      <c r="B172" s="40" t="s">
        <v>33</v>
      </c>
      <c r="C172" s="41" t="s">
        <v>27</v>
      </c>
      <c r="D172" s="42" t="n">
        <v>90.34</v>
      </c>
      <c r="E172" s="43" t="n">
        <f aca="false">YEAR(A172)</f>
        <v>2025</v>
      </c>
      <c r="F172" s="43" t="n">
        <f aca="false">MONTH(A172)</f>
        <v>11</v>
      </c>
      <c r="G172" s="43" t="n">
        <f aca="false">E172*100+F172</f>
        <v>202511</v>
      </c>
      <c r="H172" s="43" t="str">
        <f aca="false">CHOOSE(F172,"Gen","Feb","Mar","Apr","Mag","Giu","Lug","Ago","Set","Ott","Nov","Dic")&amp;" "&amp;E172</f>
        <v>Nov 2025</v>
      </c>
      <c r="I172" s="43" t="n">
        <f aca="false">SUMPRODUCT(($A$2:$A$494&gt;A172)*1)+1</f>
        <v>323</v>
      </c>
      <c r="J172" s="43" t="str">
        <f aca="false">IF(G172=Supporto!$J$4,SUMPRODUCT(($G$2:$G$494=Supporto!$J$4)*($A$2:$A$494&gt;A172))+1,"")</f>
        <v/>
      </c>
    </row>
    <row r="173" customFormat="false" ht="15" hidden="false" customHeight="false" outlineLevel="0" collapsed="false">
      <c r="A173" s="39" t="n">
        <v>45979.9368055556</v>
      </c>
      <c r="B173" s="40" t="s">
        <v>39</v>
      </c>
      <c r="C173" s="41" t="s">
        <v>27</v>
      </c>
      <c r="D173" s="42" t="n">
        <v>43.95</v>
      </c>
      <c r="E173" s="43" t="n">
        <f aca="false">YEAR(A173)</f>
        <v>2025</v>
      </c>
      <c r="F173" s="43" t="n">
        <f aca="false">MONTH(A173)</f>
        <v>11</v>
      </c>
      <c r="G173" s="43" t="n">
        <f aca="false">E173*100+F173</f>
        <v>202511</v>
      </c>
      <c r="H173" s="43" t="str">
        <f aca="false">CHOOSE(F173,"Gen","Feb","Mar","Apr","Mag","Giu","Lug","Ago","Set","Ott","Nov","Dic")&amp;" "&amp;E173</f>
        <v>Nov 2025</v>
      </c>
      <c r="I173" s="43" t="n">
        <f aca="false">SUMPRODUCT(($A$2:$A$494&gt;A173)*1)+1</f>
        <v>322</v>
      </c>
      <c r="J173" s="43" t="str">
        <f aca="false">IF(G173=Supporto!$J$4,SUMPRODUCT(($G$2:$G$494=Supporto!$J$4)*($A$2:$A$494&gt;A173))+1,"")</f>
        <v/>
      </c>
    </row>
    <row r="174" customFormat="false" ht="15" hidden="false" customHeight="false" outlineLevel="0" collapsed="false">
      <c r="A174" s="39" t="n">
        <v>45980.5875</v>
      </c>
      <c r="B174" s="40" t="s">
        <v>26</v>
      </c>
      <c r="C174" s="41" t="s">
        <v>27</v>
      </c>
      <c r="D174" s="42" t="n">
        <v>5.93</v>
      </c>
      <c r="E174" s="43" t="n">
        <f aca="false">YEAR(A174)</f>
        <v>2025</v>
      </c>
      <c r="F174" s="43" t="n">
        <f aca="false">MONTH(A174)</f>
        <v>11</v>
      </c>
      <c r="G174" s="43" t="n">
        <f aca="false">E174*100+F174</f>
        <v>202511</v>
      </c>
      <c r="H174" s="43" t="str">
        <f aca="false">CHOOSE(F174,"Gen","Feb","Mar","Apr","Mag","Giu","Lug","Ago","Set","Ott","Nov","Dic")&amp;" "&amp;E174</f>
        <v>Nov 2025</v>
      </c>
      <c r="I174" s="43" t="n">
        <f aca="false">SUMPRODUCT(($A$2:$A$494&gt;A174)*1)+1</f>
        <v>321</v>
      </c>
      <c r="J174" s="43" t="str">
        <f aca="false">IF(G174=Supporto!$J$4,SUMPRODUCT(($G$2:$G$494=Supporto!$J$4)*($A$2:$A$494&gt;A174))+1,"")</f>
        <v/>
      </c>
    </row>
    <row r="175" customFormat="false" ht="15" hidden="false" customHeight="false" outlineLevel="0" collapsed="false">
      <c r="A175" s="39" t="n">
        <v>45982.3666666667</v>
      </c>
      <c r="B175" s="40" t="s">
        <v>34</v>
      </c>
      <c r="C175" s="41" t="s">
        <v>27</v>
      </c>
      <c r="D175" s="42" t="n">
        <v>40.17</v>
      </c>
      <c r="E175" s="43" t="n">
        <f aca="false">YEAR(A175)</f>
        <v>2025</v>
      </c>
      <c r="F175" s="43" t="n">
        <f aca="false">MONTH(A175)</f>
        <v>11</v>
      </c>
      <c r="G175" s="43" t="n">
        <f aca="false">E175*100+F175</f>
        <v>202511</v>
      </c>
      <c r="H175" s="43" t="str">
        <f aca="false">CHOOSE(F175,"Gen","Feb","Mar","Apr","Mag","Giu","Lug","Ago","Set","Ott","Nov","Dic")&amp;" "&amp;E175</f>
        <v>Nov 2025</v>
      </c>
      <c r="I175" s="43" t="n">
        <f aca="false">SUMPRODUCT(($A$2:$A$494&gt;A175)*1)+1</f>
        <v>320</v>
      </c>
      <c r="J175" s="43" t="str">
        <f aca="false">IF(G175=Supporto!$J$4,SUMPRODUCT(($G$2:$G$494=Supporto!$J$4)*($A$2:$A$494&gt;A175))+1,"")</f>
        <v/>
      </c>
    </row>
    <row r="176" customFormat="false" ht="15" hidden="false" customHeight="false" outlineLevel="0" collapsed="false">
      <c r="A176" s="39" t="n">
        <v>45982.8388888889</v>
      </c>
      <c r="B176" s="40" t="s">
        <v>28</v>
      </c>
      <c r="C176" s="41" t="s">
        <v>27</v>
      </c>
      <c r="D176" s="42" t="n">
        <v>34.62</v>
      </c>
      <c r="E176" s="43" t="n">
        <f aca="false">YEAR(A176)</f>
        <v>2025</v>
      </c>
      <c r="F176" s="43" t="n">
        <f aca="false">MONTH(A176)</f>
        <v>11</v>
      </c>
      <c r="G176" s="43" t="n">
        <f aca="false">E176*100+F176</f>
        <v>202511</v>
      </c>
      <c r="H176" s="43" t="str">
        <f aca="false">CHOOSE(F176,"Gen","Feb","Mar","Apr","Mag","Giu","Lug","Ago","Set","Ott","Nov","Dic")&amp;" "&amp;E176</f>
        <v>Nov 2025</v>
      </c>
      <c r="I176" s="43" t="n">
        <f aca="false">SUMPRODUCT(($A$2:$A$494&gt;A176)*1)+1</f>
        <v>319</v>
      </c>
      <c r="J176" s="43" t="str">
        <f aca="false">IF(G176=Supporto!$J$4,SUMPRODUCT(($G$2:$G$494=Supporto!$J$4)*($A$2:$A$494&gt;A176))+1,"")</f>
        <v/>
      </c>
    </row>
    <row r="177" customFormat="false" ht="15" hidden="false" customHeight="false" outlineLevel="0" collapsed="false">
      <c r="A177" s="39" t="n">
        <v>45983.4513888889</v>
      </c>
      <c r="B177" s="40" t="s">
        <v>26</v>
      </c>
      <c r="C177" s="41" t="s">
        <v>27</v>
      </c>
      <c r="D177" s="42" t="n">
        <v>46.04</v>
      </c>
      <c r="E177" s="43" t="n">
        <f aca="false">YEAR(A177)</f>
        <v>2025</v>
      </c>
      <c r="F177" s="43" t="n">
        <f aca="false">MONTH(A177)</f>
        <v>11</v>
      </c>
      <c r="G177" s="43" t="n">
        <f aca="false">E177*100+F177</f>
        <v>202511</v>
      </c>
      <c r="H177" s="43" t="str">
        <f aca="false">CHOOSE(F177,"Gen","Feb","Mar","Apr","Mag","Giu","Lug","Ago","Set","Ott","Nov","Dic")&amp;" "&amp;E177</f>
        <v>Nov 2025</v>
      </c>
      <c r="I177" s="43" t="n">
        <f aca="false">SUMPRODUCT(($A$2:$A$494&gt;A177)*1)+1</f>
        <v>318</v>
      </c>
      <c r="J177" s="43" t="str">
        <f aca="false">IF(G177=Supporto!$J$4,SUMPRODUCT(($G$2:$G$494=Supporto!$J$4)*($A$2:$A$494&gt;A177))+1,"")</f>
        <v/>
      </c>
    </row>
    <row r="178" customFormat="false" ht="15" hidden="false" customHeight="false" outlineLevel="0" collapsed="false">
      <c r="A178" s="39" t="n">
        <v>45984.5444444444</v>
      </c>
      <c r="B178" s="40" t="s">
        <v>26</v>
      </c>
      <c r="C178" s="41" t="s">
        <v>27</v>
      </c>
      <c r="D178" s="42" t="n">
        <v>20.83</v>
      </c>
      <c r="E178" s="43" t="n">
        <f aca="false">YEAR(A178)</f>
        <v>2025</v>
      </c>
      <c r="F178" s="43" t="n">
        <f aca="false">MONTH(A178)</f>
        <v>11</v>
      </c>
      <c r="G178" s="43" t="n">
        <f aca="false">E178*100+F178</f>
        <v>202511</v>
      </c>
      <c r="H178" s="43" t="str">
        <f aca="false">CHOOSE(F178,"Gen","Feb","Mar","Apr","Mag","Giu","Lug","Ago","Set","Ott","Nov","Dic")&amp;" "&amp;E178</f>
        <v>Nov 2025</v>
      </c>
      <c r="I178" s="43" t="n">
        <f aca="false">SUMPRODUCT(($A$2:$A$494&gt;A178)*1)+1</f>
        <v>317</v>
      </c>
      <c r="J178" s="43" t="str">
        <f aca="false">IF(G178=Supporto!$J$4,SUMPRODUCT(($G$2:$G$494=Supporto!$J$4)*($A$2:$A$494&gt;A178))+1,"")</f>
        <v/>
      </c>
    </row>
    <row r="179" customFormat="false" ht="15" hidden="false" customHeight="false" outlineLevel="0" collapsed="false">
      <c r="A179" s="39" t="n">
        <v>45984.7041666667</v>
      </c>
      <c r="B179" s="40" t="s">
        <v>26</v>
      </c>
      <c r="C179" s="41" t="s">
        <v>27</v>
      </c>
      <c r="D179" s="42" t="n">
        <v>13.32</v>
      </c>
      <c r="E179" s="43" t="n">
        <f aca="false">YEAR(A179)</f>
        <v>2025</v>
      </c>
      <c r="F179" s="43" t="n">
        <f aca="false">MONTH(A179)</f>
        <v>11</v>
      </c>
      <c r="G179" s="43" t="n">
        <f aca="false">E179*100+F179</f>
        <v>202511</v>
      </c>
      <c r="H179" s="43" t="str">
        <f aca="false">CHOOSE(F179,"Gen","Feb","Mar","Apr","Mag","Giu","Lug","Ago","Set","Ott","Nov","Dic")&amp;" "&amp;E179</f>
        <v>Nov 2025</v>
      </c>
      <c r="I179" s="43" t="n">
        <f aca="false">SUMPRODUCT(($A$2:$A$494&gt;A179)*1)+1</f>
        <v>316</v>
      </c>
      <c r="J179" s="43" t="str">
        <f aca="false">IF(G179=Supporto!$J$4,SUMPRODUCT(($G$2:$G$494=Supporto!$J$4)*($A$2:$A$494&gt;A179))+1,"")</f>
        <v/>
      </c>
    </row>
    <row r="180" customFormat="false" ht="15" hidden="false" customHeight="false" outlineLevel="0" collapsed="false">
      <c r="A180" s="39" t="n">
        <v>45985.6048611111</v>
      </c>
      <c r="B180" s="40" t="s">
        <v>29</v>
      </c>
      <c r="C180" s="41" t="s">
        <v>27</v>
      </c>
      <c r="D180" s="42" t="n">
        <v>223.76</v>
      </c>
      <c r="E180" s="43" t="n">
        <f aca="false">YEAR(A180)</f>
        <v>2025</v>
      </c>
      <c r="F180" s="43" t="n">
        <f aca="false">MONTH(A180)</f>
        <v>11</v>
      </c>
      <c r="G180" s="43" t="n">
        <f aca="false">E180*100+F180</f>
        <v>202511</v>
      </c>
      <c r="H180" s="43" t="str">
        <f aca="false">CHOOSE(F180,"Gen","Feb","Mar","Apr","Mag","Giu","Lug","Ago","Set","Ott","Nov","Dic")&amp;" "&amp;E180</f>
        <v>Nov 2025</v>
      </c>
      <c r="I180" s="43" t="n">
        <f aca="false">SUMPRODUCT(($A$2:$A$494&gt;A180)*1)+1</f>
        <v>315</v>
      </c>
      <c r="J180" s="43" t="str">
        <f aca="false">IF(G180=Supporto!$J$4,SUMPRODUCT(($G$2:$G$494=Supporto!$J$4)*($A$2:$A$494&gt;A180))+1,"")</f>
        <v/>
      </c>
    </row>
    <row r="181" customFormat="false" ht="15" hidden="false" customHeight="false" outlineLevel="0" collapsed="false">
      <c r="A181" s="39" t="n">
        <v>45988.375</v>
      </c>
      <c r="B181" s="40" t="s">
        <v>40</v>
      </c>
      <c r="C181" s="41" t="s">
        <v>32</v>
      </c>
      <c r="D181" s="42" t="n">
        <v>2292.79</v>
      </c>
      <c r="E181" s="43" t="n">
        <f aca="false">YEAR(A181)</f>
        <v>2025</v>
      </c>
      <c r="F181" s="43" t="n">
        <f aca="false">MONTH(A181)</f>
        <v>11</v>
      </c>
      <c r="G181" s="43" t="n">
        <f aca="false">E181*100+F181</f>
        <v>202511</v>
      </c>
      <c r="H181" s="43" t="str">
        <f aca="false">CHOOSE(F181,"Gen","Feb","Mar","Apr","Mag","Giu","Lug","Ago","Set","Ott","Nov","Dic")&amp;" "&amp;E181</f>
        <v>Nov 2025</v>
      </c>
      <c r="I181" s="43" t="n">
        <f aca="false">SUMPRODUCT(($A$2:$A$494&gt;A181)*1)+1</f>
        <v>314</v>
      </c>
      <c r="J181" s="43" t="str">
        <f aca="false">IF(G181=Supporto!$J$4,SUMPRODUCT(($G$2:$G$494=Supporto!$J$4)*($A$2:$A$494&gt;A181))+1,"")</f>
        <v/>
      </c>
    </row>
    <row r="182" customFormat="false" ht="15" hidden="false" customHeight="false" outlineLevel="0" collapsed="false">
      <c r="A182" s="39" t="n">
        <v>45988.3784722222</v>
      </c>
      <c r="B182" s="40" t="s">
        <v>41</v>
      </c>
      <c r="C182" s="41" t="s">
        <v>32</v>
      </c>
      <c r="D182" s="42" t="n">
        <v>1932.97</v>
      </c>
      <c r="E182" s="43" t="n">
        <f aca="false">YEAR(A182)</f>
        <v>2025</v>
      </c>
      <c r="F182" s="43" t="n">
        <f aca="false">MONTH(A182)</f>
        <v>11</v>
      </c>
      <c r="G182" s="43" t="n">
        <f aca="false">E182*100+F182</f>
        <v>202511</v>
      </c>
      <c r="H182" s="43" t="str">
        <f aca="false">CHOOSE(F182,"Gen","Feb","Mar","Apr","Mag","Giu","Lug","Ago","Set","Ott","Nov","Dic")&amp;" "&amp;E182</f>
        <v>Nov 2025</v>
      </c>
      <c r="I182" s="43" t="n">
        <f aca="false">SUMPRODUCT(($A$2:$A$494&gt;A182)*1)+1</f>
        <v>313</v>
      </c>
      <c r="J182" s="43" t="str">
        <f aca="false">IF(G182=Supporto!$J$4,SUMPRODUCT(($G$2:$G$494=Supporto!$J$4)*($A$2:$A$494&gt;A182))+1,"")</f>
        <v/>
      </c>
    </row>
    <row r="183" customFormat="false" ht="15" hidden="false" customHeight="false" outlineLevel="0" collapsed="false">
      <c r="A183" s="39" t="n">
        <v>45988.3958333333</v>
      </c>
      <c r="B183" s="40" t="s">
        <v>34</v>
      </c>
      <c r="C183" s="41" t="s">
        <v>27</v>
      </c>
      <c r="D183" s="42" t="n">
        <v>4.64</v>
      </c>
      <c r="E183" s="43" t="n">
        <f aca="false">YEAR(A183)</f>
        <v>2025</v>
      </c>
      <c r="F183" s="43" t="n">
        <f aca="false">MONTH(A183)</f>
        <v>11</v>
      </c>
      <c r="G183" s="43" t="n">
        <f aca="false">E183*100+F183</f>
        <v>202511</v>
      </c>
      <c r="H183" s="43" t="str">
        <f aca="false">CHOOSE(F183,"Gen","Feb","Mar","Apr","Mag","Giu","Lug","Ago","Set","Ott","Nov","Dic")&amp;" "&amp;E183</f>
        <v>Nov 2025</v>
      </c>
      <c r="I183" s="43" t="n">
        <f aca="false">SUMPRODUCT(($A$2:$A$494&gt;A183)*1)+1</f>
        <v>312</v>
      </c>
      <c r="J183" s="43" t="str">
        <f aca="false">IF(G183=Supporto!$J$4,SUMPRODUCT(($G$2:$G$494=Supporto!$J$4)*($A$2:$A$494&gt;A183))+1,"")</f>
        <v/>
      </c>
    </row>
    <row r="184" customFormat="false" ht="15" hidden="false" customHeight="false" outlineLevel="0" collapsed="false">
      <c r="A184" s="39" t="n">
        <v>45988.5131944444</v>
      </c>
      <c r="B184" s="40" t="s">
        <v>26</v>
      </c>
      <c r="C184" s="41" t="s">
        <v>27</v>
      </c>
      <c r="D184" s="42" t="n">
        <v>5.17</v>
      </c>
      <c r="E184" s="43" t="n">
        <f aca="false">YEAR(A184)</f>
        <v>2025</v>
      </c>
      <c r="F184" s="43" t="n">
        <f aca="false">MONTH(A184)</f>
        <v>11</v>
      </c>
      <c r="G184" s="43" t="n">
        <f aca="false">E184*100+F184</f>
        <v>202511</v>
      </c>
      <c r="H184" s="43" t="str">
        <f aca="false">CHOOSE(F184,"Gen","Feb","Mar","Apr","Mag","Giu","Lug","Ago","Set","Ott","Nov","Dic")&amp;" "&amp;E184</f>
        <v>Nov 2025</v>
      </c>
      <c r="I184" s="43" t="n">
        <f aca="false">SUMPRODUCT(($A$2:$A$494&gt;A184)*1)+1</f>
        <v>311</v>
      </c>
      <c r="J184" s="43" t="str">
        <f aca="false">IF(G184=Supporto!$J$4,SUMPRODUCT(($G$2:$G$494=Supporto!$J$4)*($A$2:$A$494&gt;A184))+1,"")</f>
        <v/>
      </c>
    </row>
    <row r="185" customFormat="false" ht="15" hidden="false" customHeight="false" outlineLevel="0" collapsed="false">
      <c r="A185" s="39" t="n">
        <v>45988.8444444445</v>
      </c>
      <c r="B185" s="40" t="s">
        <v>34</v>
      </c>
      <c r="C185" s="41" t="s">
        <v>27</v>
      </c>
      <c r="D185" s="42" t="n">
        <v>26.3</v>
      </c>
      <c r="E185" s="43" t="n">
        <f aca="false">YEAR(A185)</f>
        <v>2025</v>
      </c>
      <c r="F185" s="43" t="n">
        <f aca="false">MONTH(A185)</f>
        <v>11</v>
      </c>
      <c r="G185" s="43" t="n">
        <f aca="false">E185*100+F185</f>
        <v>202511</v>
      </c>
      <c r="H185" s="43" t="str">
        <f aca="false">CHOOSE(F185,"Gen","Feb","Mar","Apr","Mag","Giu","Lug","Ago","Set","Ott","Nov","Dic")&amp;" "&amp;E185</f>
        <v>Nov 2025</v>
      </c>
      <c r="I185" s="43" t="n">
        <f aca="false">SUMPRODUCT(($A$2:$A$494&gt;A185)*1)+1</f>
        <v>310</v>
      </c>
      <c r="J185" s="43" t="str">
        <f aca="false">IF(G185=Supporto!$J$4,SUMPRODUCT(($G$2:$G$494=Supporto!$J$4)*($A$2:$A$494&gt;A185))+1,"")</f>
        <v/>
      </c>
    </row>
    <row r="186" customFormat="false" ht="15" hidden="false" customHeight="false" outlineLevel="0" collapsed="false">
      <c r="A186" s="39" t="n">
        <v>45989.8826388889</v>
      </c>
      <c r="B186" s="40" t="s">
        <v>28</v>
      </c>
      <c r="C186" s="41" t="s">
        <v>27</v>
      </c>
      <c r="D186" s="42" t="n">
        <v>130.34</v>
      </c>
      <c r="E186" s="43" t="n">
        <f aca="false">YEAR(A186)</f>
        <v>2025</v>
      </c>
      <c r="F186" s="43" t="n">
        <f aca="false">MONTH(A186)</f>
        <v>11</v>
      </c>
      <c r="G186" s="43" t="n">
        <f aca="false">E186*100+F186</f>
        <v>202511</v>
      </c>
      <c r="H186" s="43" t="str">
        <f aca="false">CHOOSE(F186,"Gen","Feb","Mar","Apr","Mag","Giu","Lug","Ago","Set","Ott","Nov","Dic")&amp;" "&amp;E186</f>
        <v>Nov 2025</v>
      </c>
      <c r="I186" s="43" t="n">
        <f aca="false">SUMPRODUCT(($A$2:$A$494&gt;A186)*1)+1</f>
        <v>309</v>
      </c>
      <c r="J186" s="43" t="str">
        <f aca="false">IF(G186=Supporto!$J$4,SUMPRODUCT(($G$2:$G$494=Supporto!$J$4)*($A$2:$A$494&gt;A186))+1,"")</f>
        <v/>
      </c>
    </row>
    <row r="187" customFormat="false" ht="15" hidden="false" customHeight="false" outlineLevel="0" collapsed="false">
      <c r="A187" s="39" t="n">
        <v>45992.4701388889</v>
      </c>
      <c r="B187" s="40" t="s">
        <v>28</v>
      </c>
      <c r="C187" s="41" t="s">
        <v>27</v>
      </c>
      <c r="D187" s="42" t="n">
        <v>164.46</v>
      </c>
      <c r="E187" s="43" t="n">
        <f aca="false">YEAR(A187)</f>
        <v>2025</v>
      </c>
      <c r="F187" s="43" t="n">
        <f aca="false">MONTH(A187)</f>
        <v>12</v>
      </c>
      <c r="G187" s="43" t="n">
        <f aca="false">E187*100+F187</f>
        <v>202512</v>
      </c>
      <c r="H187" s="43" t="str">
        <f aca="false">CHOOSE(F187,"Gen","Feb","Mar","Apr","Mag","Giu","Lug","Ago","Set","Ott","Nov","Dic")&amp;" "&amp;E187</f>
        <v>Dic 2025</v>
      </c>
      <c r="I187" s="43" t="n">
        <f aca="false">SUMPRODUCT(($A$2:$A$494&gt;A187)*1)+1</f>
        <v>308</v>
      </c>
      <c r="J187" s="43" t="str">
        <f aca="false">IF(G187=Supporto!$J$4,SUMPRODUCT(($G$2:$G$494=Supporto!$J$4)*($A$2:$A$494&gt;A187))+1,"")</f>
        <v/>
      </c>
    </row>
    <row r="188" customFormat="false" ht="15" hidden="false" customHeight="false" outlineLevel="0" collapsed="false">
      <c r="A188" s="39" t="n">
        <v>45993.3576388889</v>
      </c>
      <c r="B188" s="40" t="s">
        <v>28</v>
      </c>
      <c r="C188" s="41" t="s">
        <v>27</v>
      </c>
      <c r="D188" s="42" t="n">
        <v>44.03</v>
      </c>
      <c r="E188" s="43" t="n">
        <f aca="false">YEAR(A188)</f>
        <v>2025</v>
      </c>
      <c r="F188" s="43" t="n">
        <f aca="false">MONTH(A188)</f>
        <v>12</v>
      </c>
      <c r="G188" s="43" t="n">
        <f aca="false">E188*100+F188</f>
        <v>202512</v>
      </c>
      <c r="H188" s="43" t="str">
        <f aca="false">CHOOSE(F188,"Gen","Feb","Mar","Apr","Mag","Giu","Lug","Ago","Set","Ott","Nov","Dic")&amp;" "&amp;E188</f>
        <v>Dic 2025</v>
      </c>
      <c r="I188" s="43" t="n">
        <f aca="false">SUMPRODUCT(($A$2:$A$494&gt;A188)*1)+1</f>
        <v>307</v>
      </c>
      <c r="J188" s="43" t="str">
        <f aca="false">IF(G188=Supporto!$J$4,SUMPRODUCT(($G$2:$G$494=Supporto!$J$4)*($A$2:$A$494&gt;A188))+1,"")</f>
        <v/>
      </c>
    </row>
    <row r="189" customFormat="false" ht="15" hidden="false" customHeight="false" outlineLevel="0" collapsed="false">
      <c r="A189" s="39" t="n">
        <v>45993.6631944445</v>
      </c>
      <c r="B189" s="40" t="s">
        <v>34</v>
      </c>
      <c r="C189" s="41" t="s">
        <v>27</v>
      </c>
      <c r="D189" s="42" t="n">
        <v>3</v>
      </c>
      <c r="E189" s="43" t="n">
        <f aca="false">YEAR(A189)</f>
        <v>2025</v>
      </c>
      <c r="F189" s="43" t="n">
        <f aca="false">MONTH(A189)</f>
        <v>12</v>
      </c>
      <c r="G189" s="43" t="n">
        <f aca="false">E189*100+F189</f>
        <v>202512</v>
      </c>
      <c r="H189" s="43" t="str">
        <f aca="false">CHOOSE(F189,"Gen","Feb","Mar","Apr","Mag","Giu","Lug","Ago","Set","Ott","Nov","Dic")&amp;" "&amp;E189</f>
        <v>Dic 2025</v>
      </c>
      <c r="I189" s="43" t="n">
        <f aca="false">SUMPRODUCT(($A$2:$A$494&gt;A189)*1)+1</f>
        <v>306</v>
      </c>
      <c r="J189" s="43" t="str">
        <f aca="false">IF(G189=Supporto!$J$4,SUMPRODUCT(($G$2:$G$494=Supporto!$J$4)*($A$2:$A$494&gt;A189))+1,"")</f>
        <v/>
      </c>
    </row>
    <row r="190" customFormat="false" ht="15" hidden="false" customHeight="false" outlineLevel="0" collapsed="false">
      <c r="A190" s="39" t="n">
        <v>45993.8659722222</v>
      </c>
      <c r="B190" s="40" t="s">
        <v>35</v>
      </c>
      <c r="C190" s="41" t="s">
        <v>27</v>
      </c>
      <c r="D190" s="42" t="n">
        <v>7.69</v>
      </c>
      <c r="E190" s="43" t="n">
        <f aca="false">YEAR(A190)</f>
        <v>2025</v>
      </c>
      <c r="F190" s="43" t="n">
        <f aca="false">MONTH(A190)</f>
        <v>12</v>
      </c>
      <c r="G190" s="43" t="n">
        <f aca="false">E190*100+F190</f>
        <v>202512</v>
      </c>
      <c r="H190" s="43" t="str">
        <f aca="false">CHOOSE(F190,"Gen","Feb","Mar","Apr","Mag","Giu","Lug","Ago","Set","Ott","Nov","Dic")&amp;" "&amp;E190</f>
        <v>Dic 2025</v>
      </c>
      <c r="I190" s="43" t="n">
        <f aca="false">SUMPRODUCT(($A$2:$A$494&gt;A190)*1)+1</f>
        <v>305</v>
      </c>
      <c r="J190" s="43" t="str">
        <f aca="false">IF(G190=Supporto!$J$4,SUMPRODUCT(($G$2:$G$494=Supporto!$J$4)*($A$2:$A$494&gt;A190))+1,"")</f>
        <v/>
      </c>
    </row>
    <row r="191" customFormat="false" ht="15" hidden="false" customHeight="false" outlineLevel="0" collapsed="false">
      <c r="A191" s="39" t="n">
        <v>45994.3395833333</v>
      </c>
      <c r="B191" s="40" t="s">
        <v>34</v>
      </c>
      <c r="C191" s="41" t="s">
        <v>27</v>
      </c>
      <c r="D191" s="42" t="n">
        <v>9.48</v>
      </c>
      <c r="E191" s="43" t="n">
        <f aca="false">YEAR(A191)</f>
        <v>2025</v>
      </c>
      <c r="F191" s="43" t="n">
        <f aca="false">MONTH(A191)</f>
        <v>12</v>
      </c>
      <c r="G191" s="43" t="n">
        <f aca="false">E191*100+F191</f>
        <v>202512</v>
      </c>
      <c r="H191" s="43" t="str">
        <f aca="false">CHOOSE(F191,"Gen","Feb","Mar","Apr","Mag","Giu","Lug","Ago","Set","Ott","Nov","Dic")&amp;" "&amp;E191</f>
        <v>Dic 2025</v>
      </c>
      <c r="I191" s="43" t="n">
        <f aca="false">SUMPRODUCT(($A$2:$A$494&gt;A191)*1)+1</f>
        <v>304</v>
      </c>
      <c r="J191" s="43" t="str">
        <f aca="false">IF(G191=Supporto!$J$4,SUMPRODUCT(($G$2:$G$494=Supporto!$J$4)*($A$2:$A$494&gt;A191))+1,"")</f>
        <v/>
      </c>
    </row>
    <row r="192" customFormat="false" ht="15" hidden="false" customHeight="false" outlineLevel="0" collapsed="false">
      <c r="A192" s="39" t="n">
        <v>45994.3402777778</v>
      </c>
      <c r="B192" s="40" t="s">
        <v>30</v>
      </c>
      <c r="C192" s="41" t="s">
        <v>27</v>
      </c>
      <c r="D192" s="42" t="n">
        <v>31.31</v>
      </c>
      <c r="E192" s="43" t="n">
        <f aca="false">YEAR(A192)</f>
        <v>2025</v>
      </c>
      <c r="F192" s="43" t="n">
        <f aca="false">MONTH(A192)</f>
        <v>12</v>
      </c>
      <c r="G192" s="43" t="n">
        <f aca="false">E192*100+F192</f>
        <v>202512</v>
      </c>
      <c r="H192" s="43" t="str">
        <f aca="false">CHOOSE(F192,"Gen","Feb","Mar","Apr","Mag","Giu","Lug","Ago","Set","Ott","Nov","Dic")&amp;" "&amp;E192</f>
        <v>Dic 2025</v>
      </c>
      <c r="I192" s="43" t="n">
        <f aca="false">SUMPRODUCT(($A$2:$A$494&gt;A192)*1)+1</f>
        <v>303</v>
      </c>
      <c r="J192" s="43" t="str">
        <f aca="false">IF(G192=Supporto!$J$4,SUMPRODUCT(($G$2:$G$494=Supporto!$J$4)*($A$2:$A$494&gt;A192))+1,"")</f>
        <v/>
      </c>
    </row>
    <row r="193" customFormat="false" ht="15" hidden="false" customHeight="false" outlineLevel="0" collapsed="false">
      <c r="A193" s="39" t="n">
        <v>45994.5</v>
      </c>
      <c r="B193" s="40" t="s">
        <v>26</v>
      </c>
      <c r="C193" s="41" t="s">
        <v>27</v>
      </c>
      <c r="D193" s="42" t="n">
        <v>24.84</v>
      </c>
      <c r="E193" s="43" t="n">
        <f aca="false">YEAR(A193)</f>
        <v>2025</v>
      </c>
      <c r="F193" s="43" t="n">
        <f aca="false">MONTH(A193)</f>
        <v>12</v>
      </c>
      <c r="G193" s="43" t="n">
        <f aca="false">E193*100+F193</f>
        <v>202512</v>
      </c>
      <c r="H193" s="43" t="str">
        <f aca="false">CHOOSE(F193,"Gen","Feb","Mar","Apr","Mag","Giu","Lug","Ago","Set","Ott","Nov","Dic")&amp;" "&amp;E193</f>
        <v>Dic 2025</v>
      </c>
      <c r="I193" s="43" t="n">
        <f aca="false">SUMPRODUCT(($A$2:$A$494&gt;A193)*1)+1</f>
        <v>302</v>
      </c>
      <c r="J193" s="43" t="str">
        <f aca="false">IF(G193=Supporto!$J$4,SUMPRODUCT(($G$2:$G$494=Supporto!$J$4)*($A$2:$A$494&gt;A193))+1,"")</f>
        <v/>
      </c>
    </row>
    <row r="194" customFormat="false" ht="15" hidden="false" customHeight="false" outlineLevel="0" collapsed="false">
      <c r="A194" s="39" t="n">
        <v>45994.8131944445</v>
      </c>
      <c r="B194" s="40" t="s">
        <v>34</v>
      </c>
      <c r="C194" s="41" t="s">
        <v>27</v>
      </c>
      <c r="D194" s="42" t="n">
        <v>30.56</v>
      </c>
      <c r="E194" s="43" t="n">
        <f aca="false">YEAR(A194)</f>
        <v>2025</v>
      </c>
      <c r="F194" s="43" t="n">
        <f aca="false">MONTH(A194)</f>
        <v>12</v>
      </c>
      <c r="G194" s="43" t="n">
        <f aca="false">E194*100+F194</f>
        <v>202512</v>
      </c>
      <c r="H194" s="43" t="str">
        <f aca="false">CHOOSE(F194,"Gen","Feb","Mar","Apr","Mag","Giu","Lug","Ago","Set","Ott","Nov","Dic")&amp;" "&amp;E194</f>
        <v>Dic 2025</v>
      </c>
      <c r="I194" s="43" t="n">
        <f aca="false">SUMPRODUCT(($A$2:$A$494&gt;A194)*1)+1</f>
        <v>301</v>
      </c>
      <c r="J194" s="43" t="str">
        <f aca="false">IF(G194=Supporto!$J$4,SUMPRODUCT(($G$2:$G$494=Supporto!$J$4)*($A$2:$A$494&gt;A194))+1,"")</f>
        <v/>
      </c>
    </row>
    <row r="195" customFormat="false" ht="15" hidden="false" customHeight="false" outlineLevel="0" collapsed="false">
      <c r="A195" s="39" t="n">
        <v>45995.5083333333</v>
      </c>
      <c r="B195" s="40" t="s">
        <v>29</v>
      </c>
      <c r="C195" s="41" t="s">
        <v>27</v>
      </c>
      <c r="D195" s="42" t="n">
        <v>24.5</v>
      </c>
      <c r="E195" s="43" t="n">
        <f aca="false">YEAR(A195)</f>
        <v>2025</v>
      </c>
      <c r="F195" s="43" t="n">
        <f aca="false">MONTH(A195)</f>
        <v>12</v>
      </c>
      <c r="G195" s="43" t="n">
        <f aca="false">E195*100+F195</f>
        <v>202512</v>
      </c>
      <c r="H195" s="43" t="str">
        <f aca="false">CHOOSE(F195,"Gen","Feb","Mar","Apr","Mag","Giu","Lug","Ago","Set","Ott","Nov","Dic")&amp;" "&amp;E195</f>
        <v>Dic 2025</v>
      </c>
      <c r="I195" s="43" t="n">
        <f aca="false">SUMPRODUCT(($A$2:$A$494&gt;A195)*1)+1</f>
        <v>300</v>
      </c>
      <c r="J195" s="43" t="str">
        <f aca="false">IF(G195=Supporto!$J$4,SUMPRODUCT(($G$2:$G$494=Supporto!$J$4)*($A$2:$A$494&gt;A195))+1,"")</f>
        <v/>
      </c>
    </row>
    <row r="196" customFormat="false" ht="15" hidden="false" customHeight="false" outlineLevel="0" collapsed="false">
      <c r="A196" s="39" t="n">
        <v>45995.5555555556</v>
      </c>
      <c r="B196" s="40" t="s">
        <v>29</v>
      </c>
      <c r="C196" s="41" t="s">
        <v>27</v>
      </c>
      <c r="D196" s="42" t="n">
        <v>19.81</v>
      </c>
      <c r="E196" s="43" t="n">
        <f aca="false">YEAR(A196)</f>
        <v>2025</v>
      </c>
      <c r="F196" s="43" t="n">
        <f aca="false">MONTH(A196)</f>
        <v>12</v>
      </c>
      <c r="G196" s="43" t="n">
        <f aca="false">E196*100+F196</f>
        <v>202512</v>
      </c>
      <c r="H196" s="43" t="str">
        <f aca="false">CHOOSE(F196,"Gen","Feb","Mar","Apr","Mag","Giu","Lug","Ago","Set","Ott","Nov","Dic")&amp;" "&amp;E196</f>
        <v>Dic 2025</v>
      </c>
      <c r="I196" s="43" t="n">
        <f aca="false">SUMPRODUCT(($A$2:$A$494&gt;A196)*1)+1</f>
        <v>299</v>
      </c>
      <c r="J196" s="43" t="str">
        <f aca="false">IF(G196=Supporto!$J$4,SUMPRODUCT(($G$2:$G$494=Supporto!$J$4)*($A$2:$A$494&gt;A196))+1,"")</f>
        <v/>
      </c>
    </row>
    <row r="197" customFormat="false" ht="15" hidden="false" customHeight="false" outlineLevel="0" collapsed="false">
      <c r="A197" s="39" t="n">
        <v>45995.6118055556</v>
      </c>
      <c r="B197" s="40" t="s">
        <v>33</v>
      </c>
      <c r="C197" s="41" t="s">
        <v>27</v>
      </c>
      <c r="D197" s="42" t="n">
        <v>70.75</v>
      </c>
      <c r="E197" s="43" t="n">
        <f aca="false">YEAR(A197)</f>
        <v>2025</v>
      </c>
      <c r="F197" s="43" t="n">
        <f aca="false">MONTH(A197)</f>
        <v>12</v>
      </c>
      <c r="G197" s="43" t="n">
        <f aca="false">E197*100+F197</f>
        <v>202512</v>
      </c>
      <c r="H197" s="43" t="str">
        <f aca="false">CHOOSE(F197,"Gen","Feb","Mar","Apr","Mag","Giu","Lug","Ago","Set","Ott","Nov","Dic")&amp;" "&amp;E197</f>
        <v>Dic 2025</v>
      </c>
      <c r="I197" s="43" t="n">
        <f aca="false">SUMPRODUCT(($A$2:$A$494&gt;A197)*1)+1</f>
        <v>298</v>
      </c>
      <c r="J197" s="43" t="str">
        <f aca="false">IF(G197=Supporto!$J$4,SUMPRODUCT(($G$2:$G$494=Supporto!$J$4)*($A$2:$A$494&gt;A197))+1,"")</f>
        <v/>
      </c>
    </row>
    <row r="198" customFormat="false" ht="15" hidden="false" customHeight="false" outlineLevel="0" collapsed="false">
      <c r="A198" s="39" t="n">
        <v>45996.6701388889</v>
      </c>
      <c r="B198" s="40" t="s">
        <v>34</v>
      </c>
      <c r="C198" s="41" t="s">
        <v>27</v>
      </c>
      <c r="D198" s="42" t="n">
        <v>23.21</v>
      </c>
      <c r="E198" s="43" t="n">
        <f aca="false">YEAR(A198)</f>
        <v>2025</v>
      </c>
      <c r="F198" s="43" t="n">
        <f aca="false">MONTH(A198)</f>
        <v>12</v>
      </c>
      <c r="G198" s="43" t="n">
        <f aca="false">E198*100+F198</f>
        <v>202512</v>
      </c>
      <c r="H198" s="43" t="str">
        <f aca="false">CHOOSE(F198,"Gen","Feb","Mar","Apr","Mag","Giu","Lug","Ago","Set","Ott","Nov","Dic")&amp;" "&amp;E198</f>
        <v>Dic 2025</v>
      </c>
      <c r="I198" s="43" t="n">
        <f aca="false">SUMPRODUCT(($A$2:$A$494&gt;A198)*1)+1</f>
        <v>297</v>
      </c>
      <c r="J198" s="43" t="str">
        <f aca="false">IF(G198=Supporto!$J$4,SUMPRODUCT(($G$2:$G$494=Supporto!$J$4)*($A$2:$A$494&gt;A198))+1,"")</f>
        <v/>
      </c>
    </row>
    <row r="199" customFormat="false" ht="15" hidden="false" customHeight="false" outlineLevel="0" collapsed="false">
      <c r="A199" s="39" t="n">
        <v>45998.5527777778</v>
      </c>
      <c r="B199" s="40" t="s">
        <v>26</v>
      </c>
      <c r="C199" s="41" t="s">
        <v>27</v>
      </c>
      <c r="D199" s="42" t="n">
        <v>3</v>
      </c>
      <c r="E199" s="43" t="n">
        <f aca="false">YEAR(A199)</f>
        <v>2025</v>
      </c>
      <c r="F199" s="43" t="n">
        <f aca="false">MONTH(A199)</f>
        <v>12</v>
      </c>
      <c r="G199" s="43" t="n">
        <f aca="false">E199*100+F199</f>
        <v>202512</v>
      </c>
      <c r="H199" s="43" t="str">
        <f aca="false">CHOOSE(F199,"Gen","Feb","Mar","Apr","Mag","Giu","Lug","Ago","Set","Ott","Nov","Dic")&amp;" "&amp;E199</f>
        <v>Dic 2025</v>
      </c>
      <c r="I199" s="43" t="n">
        <f aca="false">SUMPRODUCT(($A$2:$A$494&gt;A199)*1)+1</f>
        <v>296</v>
      </c>
      <c r="J199" s="43" t="str">
        <f aca="false">IF(G199=Supporto!$J$4,SUMPRODUCT(($G$2:$G$494=Supporto!$J$4)*($A$2:$A$494&gt;A199))+1,"")</f>
        <v/>
      </c>
    </row>
    <row r="200" customFormat="false" ht="15" hidden="false" customHeight="false" outlineLevel="0" collapsed="false">
      <c r="A200" s="39" t="n">
        <v>45998.9284722222</v>
      </c>
      <c r="B200" s="40" t="s">
        <v>29</v>
      </c>
      <c r="C200" s="41" t="s">
        <v>27</v>
      </c>
      <c r="D200" s="42" t="n">
        <v>120.8</v>
      </c>
      <c r="E200" s="43" t="n">
        <f aca="false">YEAR(A200)</f>
        <v>2025</v>
      </c>
      <c r="F200" s="43" t="n">
        <f aca="false">MONTH(A200)</f>
        <v>12</v>
      </c>
      <c r="G200" s="43" t="n">
        <f aca="false">E200*100+F200</f>
        <v>202512</v>
      </c>
      <c r="H200" s="43" t="str">
        <f aca="false">CHOOSE(F200,"Gen","Feb","Mar","Apr","Mag","Giu","Lug","Ago","Set","Ott","Nov","Dic")&amp;" "&amp;E200</f>
        <v>Dic 2025</v>
      </c>
      <c r="I200" s="43" t="n">
        <f aca="false">SUMPRODUCT(($A$2:$A$494&gt;A200)*1)+1</f>
        <v>295</v>
      </c>
      <c r="J200" s="43" t="str">
        <f aca="false">IF(G200=Supporto!$J$4,SUMPRODUCT(($G$2:$G$494=Supporto!$J$4)*($A$2:$A$494&gt;A200))+1,"")</f>
        <v/>
      </c>
    </row>
    <row r="201" customFormat="false" ht="15" hidden="false" customHeight="false" outlineLevel="0" collapsed="false">
      <c r="A201" s="39" t="n">
        <v>45999.4409722222</v>
      </c>
      <c r="B201" s="40" t="s">
        <v>34</v>
      </c>
      <c r="C201" s="41" t="s">
        <v>27</v>
      </c>
      <c r="D201" s="42" t="n">
        <v>87.66</v>
      </c>
      <c r="E201" s="43" t="n">
        <f aca="false">YEAR(A201)</f>
        <v>2025</v>
      </c>
      <c r="F201" s="43" t="n">
        <f aca="false">MONTH(A201)</f>
        <v>12</v>
      </c>
      <c r="G201" s="43" t="n">
        <f aca="false">E201*100+F201</f>
        <v>202512</v>
      </c>
      <c r="H201" s="43" t="str">
        <f aca="false">CHOOSE(F201,"Gen","Feb","Mar","Apr","Mag","Giu","Lug","Ago","Set","Ott","Nov","Dic")&amp;" "&amp;E201</f>
        <v>Dic 2025</v>
      </c>
      <c r="I201" s="43" t="n">
        <f aca="false">SUMPRODUCT(($A$2:$A$494&gt;A201)*1)+1</f>
        <v>294</v>
      </c>
      <c r="J201" s="43" t="str">
        <f aca="false">IF(G201=Supporto!$J$4,SUMPRODUCT(($G$2:$G$494=Supporto!$J$4)*($A$2:$A$494&gt;A201))+1,"")</f>
        <v/>
      </c>
    </row>
    <row r="202" customFormat="false" ht="15" hidden="false" customHeight="false" outlineLevel="0" collapsed="false">
      <c r="A202" s="39" t="n">
        <v>45999.5243055556</v>
      </c>
      <c r="B202" s="40" t="s">
        <v>26</v>
      </c>
      <c r="C202" s="41" t="s">
        <v>27</v>
      </c>
      <c r="D202" s="42" t="n">
        <v>29.41</v>
      </c>
      <c r="E202" s="43" t="n">
        <f aca="false">YEAR(A202)</f>
        <v>2025</v>
      </c>
      <c r="F202" s="43" t="n">
        <f aca="false">MONTH(A202)</f>
        <v>12</v>
      </c>
      <c r="G202" s="43" t="n">
        <f aca="false">E202*100+F202</f>
        <v>202512</v>
      </c>
      <c r="H202" s="43" t="str">
        <f aca="false">CHOOSE(F202,"Gen","Feb","Mar","Apr","Mag","Giu","Lug","Ago","Set","Ott","Nov","Dic")&amp;" "&amp;E202</f>
        <v>Dic 2025</v>
      </c>
      <c r="I202" s="43" t="n">
        <f aca="false">SUMPRODUCT(($A$2:$A$494&gt;A202)*1)+1</f>
        <v>293</v>
      </c>
      <c r="J202" s="43" t="str">
        <f aca="false">IF(G202=Supporto!$J$4,SUMPRODUCT(($G$2:$G$494=Supporto!$J$4)*($A$2:$A$494&gt;A202))+1,"")</f>
        <v/>
      </c>
    </row>
    <row r="203" customFormat="false" ht="15" hidden="false" customHeight="false" outlineLevel="0" collapsed="false">
      <c r="A203" s="39" t="n">
        <v>46000.5256944444</v>
      </c>
      <c r="B203" s="40" t="s">
        <v>36</v>
      </c>
      <c r="C203" s="41" t="s">
        <v>27</v>
      </c>
      <c r="D203" s="42" t="n">
        <v>17.8</v>
      </c>
      <c r="E203" s="43" t="n">
        <f aca="false">YEAR(A203)</f>
        <v>2025</v>
      </c>
      <c r="F203" s="43" t="n">
        <f aca="false">MONTH(A203)</f>
        <v>12</v>
      </c>
      <c r="G203" s="43" t="n">
        <f aca="false">E203*100+F203</f>
        <v>202512</v>
      </c>
      <c r="H203" s="43" t="str">
        <f aca="false">CHOOSE(F203,"Gen","Feb","Mar","Apr","Mag","Giu","Lug","Ago","Set","Ott","Nov","Dic")&amp;" "&amp;E203</f>
        <v>Dic 2025</v>
      </c>
      <c r="I203" s="43" t="n">
        <f aca="false">SUMPRODUCT(($A$2:$A$494&gt;A203)*1)+1</f>
        <v>292</v>
      </c>
      <c r="J203" s="43" t="str">
        <f aca="false">IF(G203=Supporto!$J$4,SUMPRODUCT(($G$2:$G$494=Supporto!$J$4)*($A$2:$A$494&gt;A203))+1,"")</f>
        <v/>
      </c>
    </row>
    <row r="204" customFormat="false" ht="15" hidden="false" customHeight="false" outlineLevel="0" collapsed="false">
      <c r="A204" s="39" t="n">
        <v>46000.5604166667</v>
      </c>
      <c r="B204" s="40" t="s">
        <v>33</v>
      </c>
      <c r="C204" s="41" t="s">
        <v>27</v>
      </c>
      <c r="D204" s="42" t="n">
        <v>3</v>
      </c>
      <c r="E204" s="43" t="n">
        <f aca="false">YEAR(A204)</f>
        <v>2025</v>
      </c>
      <c r="F204" s="43" t="n">
        <f aca="false">MONTH(A204)</f>
        <v>12</v>
      </c>
      <c r="G204" s="43" t="n">
        <f aca="false">E204*100+F204</f>
        <v>202512</v>
      </c>
      <c r="H204" s="43" t="str">
        <f aca="false">CHOOSE(F204,"Gen","Feb","Mar","Apr","Mag","Giu","Lug","Ago","Set","Ott","Nov","Dic")&amp;" "&amp;E204</f>
        <v>Dic 2025</v>
      </c>
      <c r="I204" s="43" t="n">
        <f aca="false">SUMPRODUCT(($A$2:$A$494&gt;A204)*1)+1</f>
        <v>291</v>
      </c>
      <c r="J204" s="43" t="str">
        <f aca="false">IF(G204=Supporto!$J$4,SUMPRODUCT(($G$2:$G$494=Supporto!$J$4)*($A$2:$A$494&gt;A204))+1,"")</f>
        <v/>
      </c>
    </row>
    <row r="205" customFormat="false" ht="15" hidden="false" customHeight="false" outlineLevel="0" collapsed="false">
      <c r="A205" s="39" t="n">
        <v>46001.4861111111</v>
      </c>
      <c r="B205" s="40" t="s">
        <v>28</v>
      </c>
      <c r="C205" s="41" t="s">
        <v>27</v>
      </c>
      <c r="D205" s="42" t="n">
        <v>708.03</v>
      </c>
      <c r="E205" s="43" t="n">
        <f aca="false">YEAR(A205)</f>
        <v>2025</v>
      </c>
      <c r="F205" s="43" t="n">
        <f aca="false">MONTH(A205)</f>
        <v>12</v>
      </c>
      <c r="G205" s="43" t="n">
        <f aca="false">E205*100+F205</f>
        <v>202512</v>
      </c>
      <c r="H205" s="43" t="str">
        <f aca="false">CHOOSE(F205,"Gen","Feb","Mar","Apr","Mag","Giu","Lug","Ago","Set","Ott","Nov","Dic")&amp;" "&amp;E205</f>
        <v>Dic 2025</v>
      </c>
      <c r="I205" s="43" t="n">
        <f aca="false">SUMPRODUCT(($A$2:$A$494&gt;A205)*1)+1</f>
        <v>290</v>
      </c>
      <c r="J205" s="43" t="str">
        <f aca="false">IF(G205=Supporto!$J$4,SUMPRODUCT(($G$2:$G$494=Supporto!$J$4)*($A$2:$A$494&gt;A205))+1,"")</f>
        <v/>
      </c>
    </row>
    <row r="206" customFormat="false" ht="15" hidden="false" customHeight="false" outlineLevel="0" collapsed="false">
      <c r="A206" s="39" t="n">
        <v>46001.6347222222</v>
      </c>
      <c r="B206" s="40" t="s">
        <v>29</v>
      </c>
      <c r="C206" s="41" t="s">
        <v>27</v>
      </c>
      <c r="D206" s="42" t="n">
        <v>41.86</v>
      </c>
      <c r="E206" s="43" t="n">
        <f aca="false">YEAR(A206)</f>
        <v>2025</v>
      </c>
      <c r="F206" s="43" t="n">
        <f aca="false">MONTH(A206)</f>
        <v>12</v>
      </c>
      <c r="G206" s="43" t="n">
        <f aca="false">E206*100+F206</f>
        <v>202512</v>
      </c>
      <c r="H206" s="43" t="str">
        <f aca="false">CHOOSE(F206,"Gen","Feb","Mar","Apr","Mag","Giu","Lug","Ago","Set","Ott","Nov","Dic")&amp;" "&amp;E206</f>
        <v>Dic 2025</v>
      </c>
      <c r="I206" s="43" t="n">
        <f aca="false">SUMPRODUCT(($A$2:$A$494&gt;A206)*1)+1</f>
        <v>289</v>
      </c>
      <c r="J206" s="43" t="str">
        <f aca="false">IF(G206=Supporto!$J$4,SUMPRODUCT(($G$2:$G$494=Supporto!$J$4)*($A$2:$A$494&gt;A206))+1,"")</f>
        <v/>
      </c>
    </row>
    <row r="207" customFormat="false" ht="15" hidden="false" customHeight="false" outlineLevel="0" collapsed="false">
      <c r="A207" s="39" t="n">
        <v>46002.4166666667</v>
      </c>
      <c r="B207" s="40" t="s">
        <v>42</v>
      </c>
      <c r="C207" s="41" t="s">
        <v>32</v>
      </c>
      <c r="D207" s="42" t="n">
        <v>296.54</v>
      </c>
      <c r="E207" s="43" t="n">
        <f aca="false">YEAR(A207)</f>
        <v>2025</v>
      </c>
      <c r="F207" s="43" t="n">
        <f aca="false">MONTH(A207)</f>
        <v>12</v>
      </c>
      <c r="G207" s="43" t="n">
        <f aca="false">E207*100+F207</f>
        <v>202512</v>
      </c>
      <c r="H207" s="43" t="str">
        <f aca="false">CHOOSE(F207,"Gen","Feb","Mar","Apr","Mag","Giu","Lug","Ago","Set","Ott","Nov","Dic")&amp;" "&amp;E207</f>
        <v>Dic 2025</v>
      </c>
      <c r="I207" s="43" t="n">
        <f aca="false">SUMPRODUCT(($A$2:$A$494&gt;A207)*1)+1</f>
        <v>288</v>
      </c>
      <c r="J207" s="43" t="str">
        <f aca="false">IF(G207=Supporto!$J$4,SUMPRODUCT(($G$2:$G$494=Supporto!$J$4)*($A$2:$A$494&gt;A207))+1,"")</f>
        <v/>
      </c>
    </row>
    <row r="208" customFormat="false" ht="15" hidden="false" customHeight="false" outlineLevel="0" collapsed="false">
      <c r="A208" s="39" t="n">
        <v>46002.6256944445</v>
      </c>
      <c r="B208" s="40" t="s">
        <v>35</v>
      </c>
      <c r="C208" s="41" t="s">
        <v>27</v>
      </c>
      <c r="D208" s="42" t="n">
        <v>87.91</v>
      </c>
      <c r="E208" s="43" t="n">
        <f aca="false">YEAR(A208)</f>
        <v>2025</v>
      </c>
      <c r="F208" s="43" t="n">
        <f aca="false">MONTH(A208)</f>
        <v>12</v>
      </c>
      <c r="G208" s="43" t="n">
        <f aca="false">E208*100+F208</f>
        <v>202512</v>
      </c>
      <c r="H208" s="43" t="str">
        <f aca="false">CHOOSE(F208,"Gen","Feb","Mar","Apr","Mag","Giu","Lug","Ago","Set","Ott","Nov","Dic")&amp;" "&amp;E208</f>
        <v>Dic 2025</v>
      </c>
      <c r="I208" s="43" t="n">
        <f aca="false">SUMPRODUCT(($A$2:$A$494&gt;A208)*1)+1</f>
        <v>287</v>
      </c>
      <c r="J208" s="43" t="str">
        <f aca="false">IF(G208=Supporto!$J$4,SUMPRODUCT(($G$2:$G$494=Supporto!$J$4)*($A$2:$A$494&gt;A208))+1,"")</f>
        <v/>
      </c>
    </row>
    <row r="209" customFormat="false" ht="15" hidden="false" customHeight="false" outlineLevel="0" collapsed="false">
      <c r="A209" s="39" t="n">
        <v>46004.6472222222</v>
      </c>
      <c r="B209" s="40" t="s">
        <v>39</v>
      </c>
      <c r="C209" s="41" t="s">
        <v>27</v>
      </c>
      <c r="D209" s="42" t="n">
        <v>40.62</v>
      </c>
      <c r="E209" s="43" t="n">
        <f aca="false">YEAR(A209)</f>
        <v>2025</v>
      </c>
      <c r="F209" s="43" t="n">
        <f aca="false">MONTH(A209)</f>
        <v>12</v>
      </c>
      <c r="G209" s="43" t="n">
        <f aca="false">E209*100+F209</f>
        <v>202512</v>
      </c>
      <c r="H209" s="43" t="str">
        <f aca="false">CHOOSE(F209,"Gen","Feb","Mar","Apr","Mag","Giu","Lug","Ago","Set","Ott","Nov","Dic")&amp;" "&amp;E209</f>
        <v>Dic 2025</v>
      </c>
      <c r="I209" s="43" t="n">
        <f aca="false">SUMPRODUCT(($A$2:$A$494&gt;A209)*1)+1</f>
        <v>286</v>
      </c>
      <c r="J209" s="43" t="str">
        <f aca="false">IF(G209=Supporto!$J$4,SUMPRODUCT(($G$2:$G$494=Supporto!$J$4)*($A$2:$A$494&gt;A209))+1,"")</f>
        <v/>
      </c>
    </row>
    <row r="210" customFormat="false" ht="15" hidden="false" customHeight="false" outlineLevel="0" collapsed="false">
      <c r="A210" s="39" t="n">
        <v>46005.6916666667</v>
      </c>
      <c r="B210" s="40" t="s">
        <v>26</v>
      </c>
      <c r="C210" s="41" t="s">
        <v>27</v>
      </c>
      <c r="D210" s="42" t="n">
        <v>55.61</v>
      </c>
      <c r="E210" s="43" t="n">
        <f aca="false">YEAR(A210)</f>
        <v>2025</v>
      </c>
      <c r="F210" s="43" t="n">
        <f aca="false">MONTH(A210)</f>
        <v>12</v>
      </c>
      <c r="G210" s="43" t="n">
        <f aca="false">E210*100+F210</f>
        <v>202512</v>
      </c>
      <c r="H210" s="43" t="str">
        <f aca="false">CHOOSE(F210,"Gen","Feb","Mar","Apr","Mag","Giu","Lug","Ago","Set","Ott","Nov","Dic")&amp;" "&amp;E210</f>
        <v>Dic 2025</v>
      </c>
      <c r="I210" s="43" t="n">
        <f aca="false">SUMPRODUCT(($A$2:$A$494&gt;A210)*1)+1</f>
        <v>285</v>
      </c>
      <c r="J210" s="43" t="str">
        <f aca="false">IF(G210=Supporto!$J$4,SUMPRODUCT(($G$2:$G$494=Supporto!$J$4)*($A$2:$A$494&gt;A210))+1,"")</f>
        <v/>
      </c>
    </row>
    <row r="211" customFormat="false" ht="15" hidden="false" customHeight="false" outlineLevel="0" collapsed="false">
      <c r="A211" s="39" t="n">
        <v>46005.9055555556</v>
      </c>
      <c r="B211" s="40" t="s">
        <v>26</v>
      </c>
      <c r="C211" s="41" t="s">
        <v>27</v>
      </c>
      <c r="D211" s="42" t="n">
        <v>17.11</v>
      </c>
      <c r="E211" s="43" t="n">
        <f aca="false">YEAR(A211)</f>
        <v>2025</v>
      </c>
      <c r="F211" s="43" t="n">
        <f aca="false">MONTH(A211)</f>
        <v>12</v>
      </c>
      <c r="G211" s="43" t="n">
        <f aca="false">E211*100+F211</f>
        <v>202512</v>
      </c>
      <c r="H211" s="43" t="str">
        <f aca="false">CHOOSE(F211,"Gen","Feb","Mar","Apr","Mag","Giu","Lug","Ago","Set","Ott","Nov","Dic")&amp;" "&amp;E211</f>
        <v>Dic 2025</v>
      </c>
      <c r="I211" s="43" t="n">
        <f aca="false">SUMPRODUCT(($A$2:$A$494&gt;A211)*1)+1</f>
        <v>284</v>
      </c>
      <c r="J211" s="43" t="str">
        <f aca="false">IF(G211=Supporto!$J$4,SUMPRODUCT(($G$2:$G$494=Supporto!$J$4)*($A$2:$A$494&gt;A211))+1,"")</f>
        <v/>
      </c>
    </row>
    <row r="212" customFormat="false" ht="15" hidden="false" customHeight="false" outlineLevel="0" collapsed="false">
      <c r="A212" s="39" t="n">
        <v>46006.6972222222</v>
      </c>
      <c r="B212" s="40" t="s">
        <v>39</v>
      </c>
      <c r="C212" s="41" t="s">
        <v>27</v>
      </c>
      <c r="D212" s="42" t="n">
        <v>31.81</v>
      </c>
      <c r="E212" s="43" t="n">
        <f aca="false">YEAR(A212)</f>
        <v>2025</v>
      </c>
      <c r="F212" s="43" t="n">
        <f aca="false">MONTH(A212)</f>
        <v>12</v>
      </c>
      <c r="G212" s="43" t="n">
        <f aca="false">E212*100+F212</f>
        <v>202512</v>
      </c>
      <c r="H212" s="43" t="str">
        <f aca="false">CHOOSE(F212,"Gen","Feb","Mar","Apr","Mag","Giu","Lug","Ago","Set","Ott","Nov","Dic")&amp;" "&amp;E212</f>
        <v>Dic 2025</v>
      </c>
      <c r="I212" s="43" t="n">
        <f aca="false">SUMPRODUCT(($A$2:$A$494&gt;A212)*1)+1</f>
        <v>283</v>
      </c>
      <c r="J212" s="43" t="str">
        <f aca="false">IF(G212=Supporto!$J$4,SUMPRODUCT(($G$2:$G$494=Supporto!$J$4)*($A$2:$A$494&gt;A212))+1,"")</f>
        <v/>
      </c>
    </row>
    <row r="213" customFormat="false" ht="15" hidden="false" customHeight="false" outlineLevel="0" collapsed="false">
      <c r="A213" s="39" t="n">
        <v>46007.4527777778</v>
      </c>
      <c r="B213" s="40" t="s">
        <v>34</v>
      </c>
      <c r="C213" s="41" t="s">
        <v>27</v>
      </c>
      <c r="D213" s="42" t="n">
        <v>15.19</v>
      </c>
      <c r="E213" s="43" t="n">
        <f aca="false">YEAR(A213)</f>
        <v>2025</v>
      </c>
      <c r="F213" s="43" t="n">
        <f aca="false">MONTH(A213)</f>
        <v>12</v>
      </c>
      <c r="G213" s="43" t="n">
        <f aca="false">E213*100+F213</f>
        <v>202512</v>
      </c>
      <c r="H213" s="43" t="str">
        <f aca="false">CHOOSE(F213,"Gen","Feb","Mar","Apr","Mag","Giu","Lug","Ago","Set","Ott","Nov","Dic")&amp;" "&amp;E213</f>
        <v>Dic 2025</v>
      </c>
      <c r="I213" s="43" t="n">
        <f aca="false">SUMPRODUCT(($A$2:$A$494&gt;A213)*1)+1</f>
        <v>282</v>
      </c>
      <c r="J213" s="43" t="str">
        <f aca="false">IF(G213=Supporto!$J$4,SUMPRODUCT(($G$2:$G$494=Supporto!$J$4)*($A$2:$A$494&gt;A213))+1,"")</f>
        <v/>
      </c>
    </row>
    <row r="214" customFormat="false" ht="15" hidden="false" customHeight="false" outlineLevel="0" collapsed="false">
      <c r="A214" s="39" t="n">
        <v>46009.76875</v>
      </c>
      <c r="B214" s="40" t="s">
        <v>29</v>
      </c>
      <c r="C214" s="41" t="s">
        <v>27</v>
      </c>
      <c r="D214" s="42" t="n">
        <v>9.65</v>
      </c>
      <c r="E214" s="43" t="n">
        <f aca="false">YEAR(A214)</f>
        <v>2025</v>
      </c>
      <c r="F214" s="43" t="n">
        <f aca="false">MONTH(A214)</f>
        <v>12</v>
      </c>
      <c r="G214" s="43" t="n">
        <f aca="false">E214*100+F214</f>
        <v>202512</v>
      </c>
      <c r="H214" s="43" t="str">
        <f aca="false">CHOOSE(F214,"Gen","Feb","Mar","Apr","Mag","Giu","Lug","Ago","Set","Ott","Nov","Dic")&amp;" "&amp;E214</f>
        <v>Dic 2025</v>
      </c>
      <c r="I214" s="43" t="n">
        <f aca="false">SUMPRODUCT(($A$2:$A$494&gt;A214)*1)+1</f>
        <v>281</v>
      </c>
      <c r="J214" s="43" t="str">
        <f aca="false">IF(G214=Supporto!$J$4,SUMPRODUCT(($G$2:$G$494=Supporto!$J$4)*($A$2:$A$494&gt;A214))+1,"")</f>
        <v/>
      </c>
    </row>
    <row r="215" customFormat="false" ht="15" hidden="false" customHeight="false" outlineLevel="0" collapsed="false">
      <c r="A215" s="39" t="n">
        <v>46009.7708333333</v>
      </c>
      <c r="B215" s="40" t="s">
        <v>31</v>
      </c>
      <c r="C215" s="41" t="s">
        <v>32</v>
      </c>
      <c r="D215" s="42" t="n">
        <v>128.56</v>
      </c>
      <c r="E215" s="43" t="n">
        <f aca="false">YEAR(A215)</f>
        <v>2025</v>
      </c>
      <c r="F215" s="43" t="n">
        <f aca="false">MONTH(A215)</f>
        <v>12</v>
      </c>
      <c r="G215" s="43" t="n">
        <f aca="false">E215*100+F215</f>
        <v>202512</v>
      </c>
      <c r="H215" s="43" t="str">
        <f aca="false">CHOOSE(F215,"Gen","Feb","Mar","Apr","Mag","Giu","Lug","Ago","Set","Ott","Nov","Dic")&amp;" "&amp;E215</f>
        <v>Dic 2025</v>
      </c>
      <c r="I215" s="43" t="n">
        <f aca="false">SUMPRODUCT(($A$2:$A$494&gt;A215)*1)+1</f>
        <v>280</v>
      </c>
      <c r="J215" s="43" t="str">
        <f aca="false">IF(G215=Supporto!$J$4,SUMPRODUCT(($G$2:$G$494=Supporto!$J$4)*($A$2:$A$494&gt;A215))+1,"")</f>
        <v/>
      </c>
    </row>
    <row r="216" customFormat="false" ht="15" hidden="false" customHeight="false" outlineLevel="0" collapsed="false">
      <c r="A216" s="39" t="n">
        <v>46011.3604166667</v>
      </c>
      <c r="B216" s="40" t="s">
        <v>26</v>
      </c>
      <c r="C216" s="41" t="s">
        <v>27</v>
      </c>
      <c r="D216" s="42" t="n">
        <v>15.53</v>
      </c>
      <c r="E216" s="43" t="n">
        <f aca="false">YEAR(A216)</f>
        <v>2025</v>
      </c>
      <c r="F216" s="43" t="n">
        <f aca="false">MONTH(A216)</f>
        <v>12</v>
      </c>
      <c r="G216" s="43" t="n">
        <f aca="false">E216*100+F216</f>
        <v>202512</v>
      </c>
      <c r="H216" s="43" t="str">
        <f aca="false">CHOOSE(F216,"Gen","Feb","Mar","Apr","Mag","Giu","Lug","Ago","Set","Ott","Nov","Dic")&amp;" "&amp;E216</f>
        <v>Dic 2025</v>
      </c>
      <c r="I216" s="43" t="n">
        <f aca="false">SUMPRODUCT(($A$2:$A$494&gt;A216)*1)+1</f>
        <v>279</v>
      </c>
      <c r="J216" s="43" t="str">
        <f aca="false">IF(G216=Supporto!$J$4,SUMPRODUCT(($G$2:$G$494=Supporto!$J$4)*($A$2:$A$494&gt;A216))+1,"")</f>
        <v/>
      </c>
    </row>
    <row r="217" customFormat="false" ht="15" hidden="false" customHeight="false" outlineLevel="0" collapsed="false">
      <c r="A217" s="39" t="n">
        <v>46012.9152777778</v>
      </c>
      <c r="B217" s="40" t="s">
        <v>36</v>
      </c>
      <c r="C217" s="41" t="s">
        <v>27</v>
      </c>
      <c r="D217" s="42" t="n">
        <v>15.82</v>
      </c>
      <c r="E217" s="43" t="n">
        <f aca="false">YEAR(A217)</f>
        <v>2025</v>
      </c>
      <c r="F217" s="43" t="n">
        <f aca="false">MONTH(A217)</f>
        <v>12</v>
      </c>
      <c r="G217" s="43" t="n">
        <f aca="false">E217*100+F217</f>
        <v>202512</v>
      </c>
      <c r="H217" s="43" t="str">
        <f aca="false">CHOOSE(F217,"Gen","Feb","Mar","Apr","Mag","Giu","Lug","Ago","Set","Ott","Nov","Dic")&amp;" "&amp;E217</f>
        <v>Dic 2025</v>
      </c>
      <c r="I217" s="43" t="n">
        <f aca="false">SUMPRODUCT(($A$2:$A$494&gt;A217)*1)+1</f>
        <v>278</v>
      </c>
      <c r="J217" s="43" t="str">
        <f aca="false">IF(G217=Supporto!$J$4,SUMPRODUCT(($G$2:$G$494=Supporto!$J$4)*($A$2:$A$494&gt;A217))+1,"")</f>
        <v/>
      </c>
    </row>
    <row r="218" customFormat="false" ht="15" hidden="false" customHeight="false" outlineLevel="0" collapsed="false">
      <c r="A218" s="39" t="n">
        <v>46013.3819444445</v>
      </c>
      <c r="B218" s="40" t="s">
        <v>26</v>
      </c>
      <c r="C218" s="41" t="s">
        <v>27</v>
      </c>
      <c r="D218" s="42" t="n">
        <v>4.17</v>
      </c>
      <c r="E218" s="43" t="n">
        <f aca="false">YEAR(A218)</f>
        <v>2025</v>
      </c>
      <c r="F218" s="43" t="n">
        <f aca="false">MONTH(A218)</f>
        <v>12</v>
      </c>
      <c r="G218" s="43" t="n">
        <f aca="false">E218*100+F218</f>
        <v>202512</v>
      </c>
      <c r="H218" s="43" t="str">
        <f aca="false">CHOOSE(F218,"Gen","Feb","Mar","Apr","Mag","Giu","Lug","Ago","Set","Ott","Nov","Dic")&amp;" "&amp;E218</f>
        <v>Dic 2025</v>
      </c>
      <c r="I218" s="43" t="n">
        <f aca="false">SUMPRODUCT(($A$2:$A$494&gt;A218)*1)+1</f>
        <v>277</v>
      </c>
      <c r="J218" s="43" t="str">
        <f aca="false">IF(G218=Supporto!$J$4,SUMPRODUCT(($G$2:$G$494=Supporto!$J$4)*($A$2:$A$494&gt;A218))+1,"")</f>
        <v/>
      </c>
    </row>
    <row r="219" customFormat="false" ht="15" hidden="false" customHeight="false" outlineLevel="0" collapsed="false">
      <c r="A219" s="39" t="n">
        <v>46013.6243055556</v>
      </c>
      <c r="B219" s="40" t="s">
        <v>33</v>
      </c>
      <c r="C219" s="41" t="s">
        <v>27</v>
      </c>
      <c r="D219" s="42" t="n">
        <v>24.85</v>
      </c>
      <c r="E219" s="43" t="n">
        <f aca="false">YEAR(A219)</f>
        <v>2025</v>
      </c>
      <c r="F219" s="43" t="n">
        <f aca="false">MONTH(A219)</f>
        <v>12</v>
      </c>
      <c r="G219" s="43" t="n">
        <f aca="false">E219*100+F219</f>
        <v>202512</v>
      </c>
      <c r="H219" s="43" t="str">
        <f aca="false">CHOOSE(F219,"Gen","Feb","Mar","Apr","Mag","Giu","Lug","Ago","Set","Ott","Nov","Dic")&amp;" "&amp;E219</f>
        <v>Dic 2025</v>
      </c>
      <c r="I219" s="43" t="n">
        <f aca="false">SUMPRODUCT(($A$2:$A$494&gt;A219)*1)+1</f>
        <v>276</v>
      </c>
      <c r="J219" s="43" t="str">
        <f aca="false">IF(G219=Supporto!$J$4,SUMPRODUCT(($G$2:$G$494=Supporto!$J$4)*($A$2:$A$494&gt;A219))+1,"")</f>
        <v/>
      </c>
    </row>
    <row r="220" customFormat="false" ht="15" hidden="false" customHeight="false" outlineLevel="0" collapsed="false">
      <c r="A220" s="39" t="n">
        <v>46014.8868055556</v>
      </c>
      <c r="B220" s="40" t="s">
        <v>29</v>
      </c>
      <c r="C220" s="41" t="s">
        <v>27</v>
      </c>
      <c r="D220" s="42" t="n">
        <v>28.51</v>
      </c>
      <c r="E220" s="43" t="n">
        <f aca="false">YEAR(A220)</f>
        <v>2025</v>
      </c>
      <c r="F220" s="43" t="n">
        <f aca="false">MONTH(A220)</f>
        <v>12</v>
      </c>
      <c r="G220" s="43" t="n">
        <f aca="false">E220*100+F220</f>
        <v>202512</v>
      </c>
      <c r="H220" s="43" t="str">
        <f aca="false">CHOOSE(F220,"Gen","Feb","Mar","Apr","Mag","Giu","Lug","Ago","Set","Ott","Nov","Dic")&amp;" "&amp;E220</f>
        <v>Dic 2025</v>
      </c>
      <c r="I220" s="43" t="n">
        <f aca="false">SUMPRODUCT(($A$2:$A$494&gt;A220)*1)+1</f>
        <v>275</v>
      </c>
      <c r="J220" s="43" t="str">
        <f aca="false">IF(G220=Supporto!$J$4,SUMPRODUCT(($G$2:$G$494=Supporto!$J$4)*($A$2:$A$494&gt;A220))+1,"")</f>
        <v/>
      </c>
    </row>
    <row r="221" customFormat="false" ht="15" hidden="false" customHeight="false" outlineLevel="0" collapsed="false">
      <c r="A221" s="39" t="n">
        <v>46015.45</v>
      </c>
      <c r="B221" s="40" t="s">
        <v>26</v>
      </c>
      <c r="C221" s="41" t="s">
        <v>27</v>
      </c>
      <c r="D221" s="42" t="n">
        <v>38.93</v>
      </c>
      <c r="E221" s="43" t="n">
        <f aca="false">YEAR(A221)</f>
        <v>2025</v>
      </c>
      <c r="F221" s="43" t="n">
        <f aca="false">MONTH(A221)</f>
        <v>12</v>
      </c>
      <c r="G221" s="43" t="n">
        <f aca="false">E221*100+F221</f>
        <v>202512</v>
      </c>
      <c r="H221" s="43" t="str">
        <f aca="false">CHOOSE(F221,"Gen","Feb","Mar","Apr","Mag","Giu","Lug","Ago","Set","Ott","Nov","Dic")&amp;" "&amp;E221</f>
        <v>Dic 2025</v>
      </c>
      <c r="I221" s="43" t="n">
        <f aca="false">SUMPRODUCT(($A$2:$A$494&gt;A221)*1)+1</f>
        <v>274</v>
      </c>
      <c r="J221" s="43" t="str">
        <f aca="false">IF(G221=Supporto!$J$4,SUMPRODUCT(($G$2:$G$494=Supporto!$J$4)*($A$2:$A$494&gt;A221))+1,"")</f>
        <v/>
      </c>
    </row>
    <row r="222" customFormat="false" ht="15" hidden="false" customHeight="false" outlineLevel="0" collapsed="false">
      <c r="A222" s="39" t="n">
        <v>46015.6708333333</v>
      </c>
      <c r="B222" s="40" t="s">
        <v>29</v>
      </c>
      <c r="C222" s="41" t="s">
        <v>27</v>
      </c>
      <c r="D222" s="42" t="n">
        <v>188.12</v>
      </c>
      <c r="E222" s="43" t="n">
        <f aca="false">YEAR(A222)</f>
        <v>2025</v>
      </c>
      <c r="F222" s="43" t="n">
        <f aca="false">MONTH(A222)</f>
        <v>12</v>
      </c>
      <c r="G222" s="43" t="n">
        <f aca="false">E222*100+F222</f>
        <v>202512</v>
      </c>
      <c r="H222" s="43" t="str">
        <f aca="false">CHOOSE(F222,"Gen","Feb","Mar","Apr","Mag","Giu","Lug","Ago","Set","Ott","Nov","Dic")&amp;" "&amp;E222</f>
        <v>Dic 2025</v>
      </c>
      <c r="I222" s="43" t="n">
        <f aca="false">SUMPRODUCT(($A$2:$A$494&gt;A222)*1)+1</f>
        <v>273</v>
      </c>
      <c r="J222" s="43" t="str">
        <f aca="false">IF(G222=Supporto!$J$4,SUMPRODUCT(($G$2:$G$494=Supporto!$J$4)*($A$2:$A$494&gt;A222))+1,"")</f>
        <v/>
      </c>
    </row>
    <row r="223" customFormat="false" ht="15" hidden="false" customHeight="false" outlineLevel="0" collapsed="false">
      <c r="A223" s="39" t="n">
        <v>46015.7236111111</v>
      </c>
      <c r="B223" s="40" t="s">
        <v>29</v>
      </c>
      <c r="C223" s="41" t="s">
        <v>27</v>
      </c>
      <c r="D223" s="42" t="n">
        <v>126.55</v>
      </c>
      <c r="E223" s="43" t="n">
        <f aca="false">YEAR(A223)</f>
        <v>2025</v>
      </c>
      <c r="F223" s="43" t="n">
        <f aca="false">MONTH(A223)</f>
        <v>12</v>
      </c>
      <c r="G223" s="43" t="n">
        <f aca="false">E223*100+F223</f>
        <v>202512</v>
      </c>
      <c r="H223" s="43" t="str">
        <f aca="false">CHOOSE(F223,"Gen","Feb","Mar","Apr","Mag","Giu","Lug","Ago","Set","Ott","Nov","Dic")&amp;" "&amp;E223</f>
        <v>Dic 2025</v>
      </c>
      <c r="I223" s="43" t="n">
        <f aca="false">SUMPRODUCT(($A$2:$A$494&gt;A223)*1)+1</f>
        <v>272</v>
      </c>
      <c r="J223" s="43" t="str">
        <f aca="false">IF(G223=Supporto!$J$4,SUMPRODUCT(($G$2:$G$494=Supporto!$J$4)*($A$2:$A$494&gt;A223))+1,"")</f>
        <v/>
      </c>
    </row>
    <row r="224" customFormat="false" ht="15" hidden="false" customHeight="false" outlineLevel="0" collapsed="false">
      <c r="A224" s="39" t="n">
        <v>46016.65</v>
      </c>
      <c r="B224" s="40" t="s">
        <v>38</v>
      </c>
      <c r="C224" s="41" t="s">
        <v>27</v>
      </c>
      <c r="D224" s="42" t="n">
        <v>73.65</v>
      </c>
      <c r="E224" s="43" t="n">
        <f aca="false">YEAR(A224)</f>
        <v>2025</v>
      </c>
      <c r="F224" s="43" t="n">
        <f aca="false">MONTH(A224)</f>
        <v>12</v>
      </c>
      <c r="G224" s="43" t="n">
        <f aca="false">E224*100+F224</f>
        <v>202512</v>
      </c>
      <c r="H224" s="43" t="str">
        <f aca="false">CHOOSE(F224,"Gen","Feb","Mar","Apr","Mag","Giu","Lug","Ago","Set","Ott","Nov","Dic")&amp;" "&amp;E224</f>
        <v>Dic 2025</v>
      </c>
      <c r="I224" s="43" t="n">
        <f aca="false">SUMPRODUCT(($A$2:$A$494&gt;A224)*1)+1</f>
        <v>271</v>
      </c>
      <c r="J224" s="43" t="str">
        <f aca="false">IF(G224=Supporto!$J$4,SUMPRODUCT(($G$2:$G$494=Supporto!$J$4)*($A$2:$A$494&gt;A224))+1,"")</f>
        <v/>
      </c>
    </row>
    <row r="225" customFormat="false" ht="15" hidden="false" customHeight="false" outlineLevel="0" collapsed="false">
      <c r="A225" s="39" t="n">
        <v>46017.6930555556</v>
      </c>
      <c r="B225" s="40" t="s">
        <v>30</v>
      </c>
      <c r="C225" s="41" t="s">
        <v>27</v>
      </c>
      <c r="D225" s="42" t="n">
        <v>6.57</v>
      </c>
      <c r="E225" s="43" t="n">
        <f aca="false">YEAR(A225)</f>
        <v>2025</v>
      </c>
      <c r="F225" s="43" t="n">
        <f aca="false">MONTH(A225)</f>
        <v>12</v>
      </c>
      <c r="G225" s="43" t="n">
        <f aca="false">E225*100+F225</f>
        <v>202512</v>
      </c>
      <c r="H225" s="43" t="str">
        <f aca="false">CHOOSE(F225,"Gen","Feb","Mar","Apr","Mag","Giu","Lug","Ago","Set","Ott","Nov","Dic")&amp;" "&amp;E225</f>
        <v>Dic 2025</v>
      </c>
      <c r="I225" s="43" t="n">
        <f aca="false">SUMPRODUCT(($A$2:$A$494&gt;A225)*1)+1</f>
        <v>270</v>
      </c>
      <c r="J225" s="43" t="str">
        <f aca="false">IF(G225=Supporto!$J$4,SUMPRODUCT(($G$2:$G$494=Supporto!$J$4)*($A$2:$A$494&gt;A225))+1,"")</f>
        <v/>
      </c>
    </row>
    <row r="226" customFormat="false" ht="15" hidden="false" customHeight="false" outlineLevel="0" collapsed="false">
      <c r="A226" s="39" t="n">
        <v>46018.375</v>
      </c>
      <c r="B226" s="40" t="s">
        <v>40</v>
      </c>
      <c r="C226" s="41" t="s">
        <v>32</v>
      </c>
      <c r="D226" s="42" t="n">
        <v>2252.03</v>
      </c>
      <c r="E226" s="43" t="n">
        <f aca="false">YEAR(A226)</f>
        <v>2025</v>
      </c>
      <c r="F226" s="43" t="n">
        <f aca="false">MONTH(A226)</f>
        <v>12</v>
      </c>
      <c r="G226" s="43" t="n">
        <f aca="false">E226*100+F226</f>
        <v>202512</v>
      </c>
      <c r="H226" s="43" t="str">
        <f aca="false">CHOOSE(F226,"Gen","Feb","Mar","Apr","Mag","Giu","Lug","Ago","Set","Ott","Nov","Dic")&amp;" "&amp;E226</f>
        <v>Dic 2025</v>
      </c>
      <c r="I226" s="43" t="n">
        <f aca="false">SUMPRODUCT(($A$2:$A$494&gt;A226)*1)+1</f>
        <v>269</v>
      </c>
      <c r="J226" s="43" t="str">
        <f aca="false">IF(G226=Supporto!$J$4,SUMPRODUCT(($G$2:$G$494=Supporto!$J$4)*($A$2:$A$494&gt;A226))+1,"")</f>
        <v/>
      </c>
    </row>
    <row r="227" customFormat="false" ht="15" hidden="false" customHeight="false" outlineLevel="0" collapsed="false">
      <c r="A227" s="39" t="n">
        <v>46018.3784722222</v>
      </c>
      <c r="B227" s="40" t="s">
        <v>41</v>
      </c>
      <c r="C227" s="41" t="s">
        <v>32</v>
      </c>
      <c r="D227" s="42" t="n">
        <v>2039.61</v>
      </c>
      <c r="E227" s="43" t="n">
        <f aca="false">YEAR(A227)</f>
        <v>2025</v>
      </c>
      <c r="F227" s="43" t="n">
        <f aca="false">MONTH(A227)</f>
        <v>12</v>
      </c>
      <c r="G227" s="43" t="n">
        <f aca="false">E227*100+F227</f>
        <v>202512</v>
      </c>
      <c r="H227" s="43" t="str">
        <f aca="false">CHOOSE(F227,"Gen","Feb","Mar","Apr","Mag","Giu","Lug","Ago","Set","Ott","Nov","Dic")&amp;" "&amp;E227</f>
        <v>Dic 2025</v>
      </c>
      <c r="I227" s="43" t="n">
        <f aca="false">SUMPRODUCT(($A$2:$A$494&gt;A227)*1)+1</f>
        <v>268</v>
      </c>
      <c r="J227" s="43" t="str">
        <f aca="false">IF(G227=Supporto!$J$4,SUMPRODUCT(($G$2:$G$494=Supporto!$J$4)*($A$2:$A$494&gt;A227))+1,"")</f>
        <v/>
      </c>
    </row>
    <row r="228" customFormat="false" ht="15" hidden="false" customHeight="false" outlineLevel="0" collapsed="false">
      <c r="A228" s="39" t="n">
        <v>46019.8777777778</v>
      </c>
      <c r="B228" s="40" t="s">
        <v>33</v>
      </c>
      <c r="C228" s="41" t="s">
        <v>27</v>
      </c>
      <c r="D228" s="42" t="n">
        <v>3.24</v>
      </c>
      <c r="E228" s="43" t="n">
        <f aca="false">YEAR(A228)</f>
        <v>2025</v>
      </c>
      <c r="F228" s="43" t="n">
        <f aca="false">MONTH(A228)</f>
        <v>12</v>
      </c>
      <c r="G228" s="43" t="n">
        <f aca="false">E228*100+F228</f>
        <v>202512</v>
      </c>
      <c r="H228" s="43" t="str">
        <f aca="false">CHOOSE(F228,"Gen","Feb","Mar","Apr","Mag","Giu","Lug","Ago","Set","Ott","Nov","Dic")&amp;" "&amp;E228</f>
        <v>Dic 2025</v>
      </c>
      <c r="I228" s="43" t="n">
        <f aca="false">SUMPRODUCT(($A$2:$A$494&gt;A228)*1)+1</f>
        <v>267</v>
      </c>
      <c r="J228" s="43" t="str">
        <f aca="false">IF(G228=Supporto!$J$4,SUMPRODUCT(($G$2:$G$494=Supporto!$J$4)*($A$2:$A$494&gt;A228))+1,"")</f>
        <v/>
      </c>
    </row>
    <row r="229" customFormat="false" ht="15" hidden="false" customHeight="false" outlineLevel="0" collapsed="false">
      <c r="A229" s="39" t="n">
        <v>46023.8368055556</v>
      </c>
      <c r="B229" s="40" t="s">
        <v>34</v>
      </c>
      <c r="C229" s="41" t="s">
        <v>27</v>
      </c>
      <c r="D229" s="42" t="n">
        <v>56.55</v>
      </c>
      <c r="E229" s="43" t="n">
        <f aca="false">YEAR(A229)</f>
        <v>2026</v>
      </c>
      <c r="F229" s="43" t="n">
        <f aca="false">MONTH(A229)</f>
        <v>1</v>
      </c>
      <c r="G229" s="43" t="n">
        <f aca="false">E229*100+F229</f>
        <v>202601</v>
      </c>
      <c r="H229" s="43" t="str">
        <f aca="false">CHOOSE(F229,"Gen","Feb","Mar","Apr","Mag","Giu","Lug","Ago","Set","Ott","Nov","Dic")&amp;" "&amp;E229</f>
        <v>Gen 2026</v>
      </c>
      <c r="I229" s="43" t="n">
        <f aca="false">SUMPRODUCT(($A$2:$A$494&gt;A229)*1)+1</f>
        <v>266</v>
      </c>
      <c r="J229" s="43" t="str">
        <f aca="false">IF(G229=Supporto!$J$4,SUMPRODUCT(($G$2:$G$494=Supporto!$J$4)*($A$2:$A$494&gt;A229))+1,"")</f>
        <v/>
      </c>
    </row>
    <row r="230" customFormat="false" ht="15" hidden="false" customHeight="false" outlineLevel="0" collapsed="false">
      <c r="A230" s="39" t="n">
        <v>46024.5645833333</v>
      </c>
      <c r="B230" s="40" t="s">
        <v>29</v>
      </c>
      <c r="C230" s="41" t="s">
        <v>27</v>
      </c>
      <c r="D230" s="42" t="n">
        <v>45.43</v>
      </c>
      <c r="E230" s="43" t="n">
        <f aca="false">YEAR(A230)</f>
        <v>2026</v>
      </c>
      <c r="F230" s="43" t="n">
        <f aca="false">MONTH(A230)</f>
        <v>1</v>
      </c>
      <c r="G230" s="43" t="n">
        <f aca="false">E230*100+F230</f>
        <v>202601</v>
      </c>
      <c r="H230" s="43" t="str">
        <f aca="false">CHOOSE(F230,"Gen","Feb","Mar","Apr","Mag","Giu","Lug","Ago","Set","Ott","Nov","Dic")&amp;" "&amp;E230</f>
        <v>Gen 2026</v>
      </c>
      <c r="I230" s="43" t="n">
        <f aca="false">SUMPRODUCT(($A$2:$A$494&gt;A230)*1)+1</f>
        <v>265</v>
      </c>
      <c r="J230" s="43" t="str">
        <f aca="false">IF(G230=Supporto!$J$4,SUMPRODUCT(($G$2:$G$494=Supporto!$J$4)*($A$2:$A$494&gt;A230))+1,"")</f>
        <v/>
      </c>
    </row>
    <row r="231" customFormat="false" ht="15" hidden="false" customHeight="false" outlineLevel="0" collapsed="false">
      <c r="A231" s="39" t="n">
        <v>46025.7194444445</v>
      </c>
      <c r="B231" s="40" t="s">
        <v>29</v>
      </c>
      <c r="C231" s="41" t="s">
        <v>27</v>
      </c>
      <c r="D231" s="42" t="n">
        <v>21.6</v>
      </c>
      <c r="E231" s="43" t="n">
        <f aca="false">YEAR(A231)</f>
        <v>2026</v>
      </c>
      <c r="F231" s="43" t="n">
        <f aca="false">MONTH(A231)</f>
        <v>1</v>
      </c>
      <c r="G231" s="43" t="n">
        <f aca="false">E231*100+F231</f>
        <v>202601</v>
      </c>
      <c r="H231" s="43" t="str">
        <f aca="false">CHOOSE(F231,"Gen","Feb","Mar","Apr","Mag","Giu","Lug","Ago","Set","Ott","Nov","Dic")&amp;" "&amp;E231</f>
        <v>Gen 2026</v>
      </c>
      <c r="I231" s="43" t="n">
        <f aca="false">SUMPRODUCT(($A$2:$A$494&gt;A231)*1)+1</f>
        <v>264</v>
      </c>
      <c r="J231" s="43" t="str">
        <f aca="false">IF(G231=Supporto!$J$4,SUMPRODUCT(($G$2:$G$494=Supporto!$J$4)*($A$2:$A$494&gt;A231))+1,"")</f>
        <v/>
      </c>
    </row>
    <row r="232" customFormat="false" ht="15" hidden="false" customHeight="false" outlineLevel="0" collapsed="false">
      <c r="A232" s="39" t="n">
        <v>46027.3868055556</v>
      </c>
      <c r="B232" s="40" t="s">
        <v>33</v>
      </c>
      <c r="C232" s="41" t="s">
        <v>27</v>
      </c>
      <c r="D232" s="42" t="n">
        <v>27.68</v>
      </c>
      <c r="E232" s="43" t="n">
        <f aca="false">YEAR(A232)</f>
        <v>2026</v>
      </c>
      <c r="F232" s="43" t="n">
        <f aca="false">MONTH(A232)</f>
        <v>1</v>
      </c>
      <c r="G232" s="43" t="n">
        <f aca="false">E232*100+F232</f>
        <v>202601</v>
      </c>
      <c r="H232" s="43" t="str">
        <f aca="false">CHOOSE(F232,"Gen","Feb","Mar","Apr","Mag","Giu","Lug","Ago","Set","Ott","Nov","Dic")&amp;" "&amp;E232</f>
        <v>Gen 2026</v>
      </c>
      <c r="I232" s="43" t="n">
        <f aca="false">SUMPRODUCT(($A$2:$A$494&gt;A232)*1)+1</f>
        <v>263</v>
      </c>
      <c r="J232" s="43" t="str">
        <f aca="false">IF(G232=Supporto!$J$4,SUMPRODUCT(($G$2:$G$494=Supporto!$J$4)*($A$2:$A$494&gt;A232))+1,"")</f>
        <v/>
      </c>
    </row>
    <row r="233" customFormat="false" ht="15" hidden="false" customHeight="false" outlineLevel="0" collapsed="false">
      <c r="A233" s="39" t="n">
        <v>46027.8715277778</v>
      </c>
      <c r="B233" s="40" t="s">
        <v>36</v>
      </c>
      <c r="C233" s="41" t="s">
        <v>27</v>
      </c>
      <c r="D233" s="42" t="n">
        <v>9.46</v>
      </c>
      <c r="E233" s="43" t="n">
        <f aca="false">YEAR(A233)</f>
        <v>2026</v>
      </c>
      <c r="F233" s="43" t="n">
        <f aca="false">MONTH(A233)</f>
        <v>1</v>
      </c>
      <c r="G233" s="43" t="n">
        <f aca="false">E233*100+F233</f>
        <v>202601</v>
      </c>
      <c r="H233" s="43" t="str">
        <f aca="false">CHOOSE(F233,"Gen","Feb","Mar","Apr","Mag","Giu","Lug","Ago","Set","Ott","Nov","Dic")&amp;" "&amp;E233</f>
        <v>Gen 2026</v>
      </c>
      <c r="I233" s="43" t="n">
        <f aca="false">SUMPRODUCT(($A$2:$A$494&gt;A233)*1)+1</f>
        <v>262</v>
      </c>
      <c r="J233" s="43" t="str">
        <f aca="false">IF(G233=Supporto!$J$4,SUMPRODUCT(($G$2:$G$494=Supporto!$J$4)*($A$2:$A$494&gt;A233))+1,"")</f>
        <v/>
      </c>
    </row>
    <row r="234" customFormat="false" ht="15" hidden="false" customHeight="false" outlineLevel="0" collapsed="false">
      <c r="A234" s="39" t="n">
        <v>46027.8986111111</v>
      </c>
      <c r="B234" s="40" t="s">
        <v>30</v>
      </c>
      <c r="C234" s="41" t="s">
        <v>27</v>
      </c>
      <c r="D234" s="42" t="n">
        <v>5.86</v>
      </c>
      <c r="E234" s="43" t="n">
        <f aca="false">YEAR(A234)</f>
        <v>2026</v>
      </c>
      <c r="F234" s="43" t="n">
        <f aca="false">MONTH(A234)</f>
        <v>1</v>
      </c>
      <c r="G234" s="43" t="n">
        <f aca="false">E234*100+F234</f>
        <v>202601</v>
      </c>
      <c r="H234" s="43" t="str">
        <f aca="false">CHOOSE(F234,"Gen","Feb","Mar","Apr","Mag","Giu","Lug","Ago","Set","Ott","Nov","Dic")&amp;" "&amp;E234</f>
        <v>Gen 2026</v>
      </c>
      <c r="I234" s="43" t="n">
        <f aca="false">SUMPRODUCT(($A$2:$A$494&gt;A234)*1)+1</f>
        <v>261</v>
      </c>
      <c r="J234" s="43" t="str">
        <f aca="false">IF(G234=Supporto!$J$4,SUMPRODUCT(($G$2:$G$494=Supporto!$J$4)*($A$2:$A$494&gt;A234))+1,"")</f>
        <v/>
      </c>
    </row>
    <row r="235" customFormat="false" ht="15" hidden="false" customHeight="false" outlineLevel="0" collapsed="false">
      <c r="A235" s="39" t="n">
        <v>46028.6909722222</v>
      </c>
      <c r="B235" s="40" t="s">
        <v>34</v>
      </c>
      <c r="C235" s="41" t="s">
        <v>27</v>
      </c>
      <c r="D235" s="42" t="n">
        <v>91.88</v>
      </c>
      <c r="E235" s="43" t="n">
        <f aca="false">YEAR(A235)</f>
        <v>2026</v>
      </c>
      <c r="F235" s="43" t="n">
        <f aca="false">MONTH(A235)</f>
        <v>1</v>
      </c>
      <c r="G235" s="43" t="n">
        <f aca="false">E235*100+F235</f>
        <v>202601</v>
      </c>
      <c r="H235" s="43" t="str">
        <f aca="false">CHOOSE(F235,"Gen","Feb","Mar","Apr","Mag","Giu","Lug","Ago","Set","Ott","Nov","Dic")&amp;" "&amp;E235</f>
        <v>Gen 2026</v>
      </c>
      <c r="I235" s="43" t="n">
        <f aca="false">SUMPRODUCT(($A$2:$A$494&gt;A235)*1)+1</f>
        <v>260</v>
      </c>
      <c r="J235" s="43" t="str">
        <f aca="false">IF(G235=Supporto!$J$4,SUMPRODUCT(($G$2:$G$494=Supporto!$J$4)*($A$2:$A$494&gt;A235))+1,"")</f>
        <v/>
      </c>
    </row>
    <row r="236" customFormat="false" ht="15" hidden="false" customHeight="false" outlineLevel="0" collapsed="false">
      <c r="A236" s="39" t="n">
        <v>46030.8013888889</v>
      </c>
      <c r="B236" s="40" t="s">
        <v>39</v>
      </c>
      <c r="C236" s="41" t="s">
        <v>27</v>
      </c>
      <c r="D236" s="42" t="n">
        <v>31.94</v>
      </c>
      <c r="E236" s="43" t="n">
        <f aca="false">YEAR(A236)</f>
        <v>2026</v>
      </c>
      <c r="F236" s="43" t="n">
        <f aca="false">MONTH(A236)</f>
        <v>1</v>
      </c>
      <c r="G236" s="43" t="n">
        <f aca="false">E236*100+F236</f>
        <v>202601</v>
      </c>
      <c r="H236" s="43" t="str">
        <f aca="false">CHOOSE(F236,"Gen","Feb","Mar","Apr","Mag","Giu","Lug","Ago","Set","Ott","Nov","Dic")&amp;" "&amp;E236</f>
        <v>Gen 2026</v>
      </c>
      <c r="I236" s="43" t="n">
        <f aca="false">SUMPRODUCT(($A$2:$A$494&gt;A236)*1)+1</f>
        <v>259</v>
      </c>
      <c r="J236" s="43" t="str">
        <f aca="false">IF(G236=Supporto!$J$4,SUMPRODUCT(($G$2:$G$494=Supporto!$J$4)*($A$2:$A$494&gt;A236))+1,"")</f>
        <v/>
      </c>
    </row>
    <row r="237" customFormat="false" ht="15" hidden="false" customHeight="false" outlineLevel="0" collapsed="false">
      <c r="A237" s="39" t="n">
        <v>46030.8993055556</v>
      </c>
      <c r="B237" s="40" t="s">
        <v>26</v>
      </c>
      <c r="C237" s="41" t="s">
        <v>27</v>
      </c>
      <c r="D237" s="42" t="n">
        <v>18.71</v>
      </c>
      <c r="E237" s="43" t="n">
        <f aca="false">YEAR(A237)</f>
        <v>2026</v>
      </c>
      <c r="F237" s="43" t="n">
        <f aca="false">MONTH(A237)</f>
        <v>1</v>
      </c>
      <c r="G237" s="43" t="n">
        <f aca="false">E237*100+F237</f>
        <v>202601</v>
      </c>
      <c r="H237" s="43" t="str">
        <f aca="false">CHOOSE(F237,"Gen","Feb","Mar","Apr","Mag","Giu","Lug","Ago","Set","Ott","Nov","Dic")&amp;" "&amp;E237</f>
        <v>Gen 2026</v>
      </c>
      <c r="I237" s="43" t="n">
        <f aca="false">SUMPRODUCT(($A$2:$A$494&gt;A237)*1)+1</f>
        <v>258</v>
      </c>
      <c r="J237" s="43" t="str">
        <f aca="false">IF(G237=Supporto!$J$4,SUMPRODUCT(($G$2:$G$494=Supporto!$J$4)*($A$2:$A$494&gt;A237))+1,"")</f>
        <v/>
      </c>
    </row>
    <row r="238" customFormat="false" ht="15" hidden="false" customHeight="false" outlineLevel="0" collapsed="false">
      <c r="A238" s="39" t="n">
        <v>46032.9138888889</v>
      </c>
      <c r="B238" s="40" t="s">
        <v>28</v>
      </c>
      <c r="C238" s="41" t="s">
        <v>27</v>
      </c>
      <c r="D238" s="42" t="n">
        <v>667.74</v>
      </c>
      <c r="E238" s="43" t="n">
        <f aca="false">YEAR(A238)</f>
        <v>2026</v>
      </c>
      <c r="F238" s="43" t="n">
        <f aca="false">MONTH(A238)</f>
        <v>1</v>
      </c>
      <c r="G238" s="43" t="n">
        <f aca="false">E238*100+F238</f>
        <v>202601</v>
      </c>
      <c r="H238" s="43" t="str">
        <f aca="false">CHOOSE(F238,"Gen","Feb","Mar","Apr","Mag","Giu","Lug","Ago","Set","Ott","Nov","Dic")&amp;" "&amp;E238</f>
        <v>Gen 2026</v>
      </c>
      <c r="I238" s="43" t="n">
        <f aca="false">SUMPRODUCT(($A$2:$A$494&gt;A238)*1)+1</f>
        <v>257</v>
      </c>
      <c r="J238" s="43" t="str">
        <f aca="false">IF(G238=Supporto!$J$4,SUMPRODUCT(($G$2:$G$494=Supporto!$J$4)*($A$2:$A$494&gt;A238))+1,"")</f>
        <v/>
      </c>
    </row>
    <row r="239" customFormat="false" ht="15" hidden="false" customHeight="false" outlineLevel="0" collapsed="false">
      <c r="A239" s="39" t="n">
        <v>46033.4506944444</v>
      </c>
      <c r="B239" s="40" t="s">
        <v>29</v>
      </c>
      <c r="C239" s="41" t="s">
        <v>27</v>
      </c>
      <c r="D239" s="42" t="n">
        <v>176.77</v>
      </c>
      <c r="E239" s="43" t="n">
        <f aca="false">YEAR(A239)</f>
        <v>2026</v>
      </c>
      <c r="F239" s="43" t="n">
        <f aca="false">MONTH(A239)</f>
        <v>1</v>
      </c>
      <c r="G239" s="43" t="n">
        <f aca="false">E239*100+F239</f>
        <v>202601</v>
      </c>
      <c r="H239" s="43" t="str">
        <f aca="false">CHOOSE(F239,"Gen","Feb","Mar","Apr","Mag","Giu","Lug","Ago","Set","Ott","Nov","Dic")&amp;" "&amp;E239</f>
        <v>Gen 2026</v>
      </c>
      <c r="I239" s="43" t="n">
        <f aca="false">SUMPRODUCT(($A$2:$A$494&gt;A239)*1)+1</f>
        <v>256</v>
      </c>
      <c r="J239" s="43" t="str">
        <f aca="false">IF(G239=Supporto!$J$4,SUMPRODUCT(($G$2:$G$494=Supporto!$J$4)*($A$2:$A$494&gt;A239))+1,"")</f>
        <v/>
      </c>
    </row>
    <row r="240" customFormat="false" ht="15" hidden="false" customHeight="false" outlineLevel="0" collapsed="false">
      <c r="A240" s="39" t="n">
        <v>46033.5722222222</v>
      </c>
      <c r="B240" s="40" t="s">
        <v>39</v>
      </c>
      <c r="C240" s="41" t="s">
        <v>27</v>
      </c>
      <c r="D240" s="42" t="n">
        <v>26.7</v>
      </c>
      <c r="E240" s="43" t="n">
        <f aca="false">YEAR(A240)</f>
        <v>2026</v>
      </c>
      <c r="F240" s="43" t="n">
        <f aca="false">MONTH(A240)</f>
        <v>1</v>
      </c>
      <c r="G240" s="43" t="n">
        <f aca="false">E240*100+F240</f>
        <v>202601</v>
      </c>
      <c r="H240" s="43" t="str">
        <f aca="false">CHOOSE(F240,"Gen","Feb","Mar","Apr","Mag","Giu","Lug","Ago","Set","Ott","Nov","Dic")&amp;" "&amp;E240</f>
        <v>Gen 2026</v>
      </c>
      <c r="I240" s="43" t="n">
        <f aca="false">SUMPRODUCT(($A$2:$A$494&gt;A240)*1)+1</f>
        <v>255</v>
      </c>
      <c r="J240" s="43" t="str">
        <f aca="false">IF(G240=Supporto!$J$4,SUMPRODUCT(($G$2:$G$494=Supporto!$J$4)*($A$2:$A$494&gt;A240))+1,"")</f>
        <v/>
      </c>
    </row>
    <row r="241" customFormat="false" ht="15" hidden="false" customHeight="false" outlineLevel="0" collapsed="false">
      <c r="A241" s="39" t="n">
        <v>46034.9444444445</v>
      </c>
      <c r="B241" s="40" t="s">
        <v>29</v>
      </c>
      <c r="C241" s="41" t="s">
        <v>27</v>
      </c>
      <c r="D241" s="42" t="n">
        <v>28.47</v>
      </c>
      <c r="E241" s="43" t="n">
        <f aca="false">YEAR(A241)</f>
        <v>2026</v>
      </c>
      <c r="F241" s="43" t="n">
        <f aca="false">MONTH(A241)</f>
        <v>1</v>
      </c>
      <c r="G241" s="43" t="n">
        <f aca="false">E241*100+F241</f>
        <v>202601</v>
      </c>
      <c r="H241" s="43" t="str">
        <f aca="false">CHOOSE(F241,"Gen","Feb","Mar","Apr","Mag","Giu","Lug","Ago","Set","Ott","Nov","Dic")&amp;" "&amp;E241</f>
        <v>Gen 2026</v>
      </c>
      <c r="I241" s="43" t="n">
        <f aca="false">SUMPRODUCT(($A$2:$A$494&gt;A241)*1)+1</f>
        <v>254</v>
      </c>
      <c r="J241" s="43" t="str">
        <f aca="false">IF(G241=Supporto!$J$4,SUMPRODUCT(($G$2:$G$494=Supporto!$J$4)*($A$2:$A$494&gt;A241))+1,"")</f>
        <v/>
      </c>
    </row>
    <row r="242" customFormat="false" ht="15" hidden="false" customHeight="false" outlineLevel="0" collapsed="false">
      <c r="A242" s="39" t="n">
        <v>46035.3208333333</v>
      </c>
      <c r="B242" s="40" t="s">
        <v>29</v>
      </c>
      <c r="C242" s="41" t="s">
        <v>27</v>
      </c>
      <c r="D242" s="42" t="n">
        <v>12.23</v>
      </c>
      <c r="E242" s="43" t="n">
        <f aca="false">YEAR(A242)</f>
        <v>2026</v>
      </c>
      <c r="F242" s="43" t="n">
        <f aca="false">MONTH(A242)</f>
        <v>1</v>
      </c>
      <c r="G242" s="43" t="n">
        <f aca="false">E242*100+F242</f>
        <v>202601</v>
      </c>
      <c r="H242" s="43" t="str">
        <f aca="false">CHOOSE(F242,"Gen","Feb","Mar","Apr","Mag","Giu","Lug","Ago","Set","Ott","Nov","Dic")&amp;" "&amp;E242</f>
        <v>Gen 2026</v>
      </c>
      <c r="I242" s="43" t="n">
        <f aca="false">SUMPRODUCT(($A$2:$A$494&gt;A242)*1)+1</f>
        <v>253</v>
      </c>
      <c r="J242" s="43" t="str">
        <f aca="false">IF(G242=Supporto!$J$4,SUMPRODUCT(($G$2:$G$494=Supporto!$J$4)*($A$2:$A$494&gt;A242))+1,"")</f>
        <v/>
      </c>
    </row>
    <row r="243" customFormat="false" ht="15" hidden="false" customHeight="false" outlineLevel="0" collapsed="false">
      <c r="A243" s="39" t="n">
        <v>46037.3236111111</v>
      </c>
      <c r="B243" s="40" t="s">
        <v>36</v>
      </c>
      <c r="C243" s="41" t="s">
        <v>27</v>
      </c>
      <c r="D243" s="42" t="n">
        <v>3</v>
      </c>
      <c r="E243" s="43" t="n">
        <f aca="false">YEAR(A243)</f>
        <v>2026</v>
      </c>
      <c r="F243" s="43" t="n">
        <f aca="false">MONTH(A243)</f>
        <v>1</v>
      </c>
      <c r="G243" s="43" t="n">
        <f aca="false">E243*100+F243</f>
        <v>202601</v>
      </c>
      <c r="H243" s="43" t="str">
        <f aca="false">CHOOSE(F243,"Gen","Feb","Mar","Apr","Mag","Giu","Lug","Ago","Set","Ott","Nov","Dic")&amp;" "&amp;E243</f>
        <v>Gen 2026</v>
      </c>
      <c r="I243" s="43" t="n">
        <f aca="false">SUMPRODUCT(($A$2:$A$494&gt;A243)*1)+1</f>
        <v>252</v>
      </c>
      <c r="J243" s="43" t="str">
        <f aca="false">IF(G243=Supporto!$J$4,SUMPRODUCT(($G$2:$G$494=Supporto!$J$4)*($A$2:$A$494&gt;A243))+1,"")</f>
        <v/>
      </c>
    </row>
    <row r="244" customFormat="false" ht="15" hidden="false" customHeight="false" outlineLevel="0" collapsed="false">
      <c r="A244" s="39" t="n">
        <v>46037.4395833333</v>
      </c>
      <c r="B244" s="40" t="s">
        <v>36</v>
      </c>
      <c r="C244" s="41" t="s">
        <v>27</v>
      </c>
      <c r="D244" s="42" t="n">
        <v>65.41</v>
      </c>
      <c r="E244" s="43" t="n">
        <f aca="false">YEAR(A244)</f>
        <v>2026</v>
      </c>
      <c r="F244" s="43" t="n">
        <f aca="false">MONTH(A244)</f>
        <v>1</v>
      </c>
      <c r="G244" s="43" t="n">
        <f aca="false">E244*100+F244</f>
        <v>202601</v>
      </c>
      <c r="H244" s="43" t="str">
        <f aca="false">CHOOSE(F244,"Gen","Feb","Mar","Apr","Mag","Giu","Lug","Ago","Set","Ott","Nov","Dic")&amp;" "&amp;E244</f>
        <v>Gen 2026</v>
      </c>
      <c r="I244" s="43" t="n">
        <f aca="false">SUMPRODUCT(($A$2:$A$494&gt;A244)*1)+1</f>
        <v>251</v>
      </c>
      <c r="J244" s="43" t="str">
        <f aca="false">IF(G244=Supporto!$J$4,SUMPRODUCT(($G$2:$G$494=Supporto!$J$4)*($A$2:$A$494&gt;A244))+1,"")</f>
        <v/>
      </c>
    </row>
    <row r="245" customFormat="false" ht="15" hidden="false" customHeight="false" outlineLevel="0" collapsed="false">
      <c r="A245" s="39" t="n">
        <v>46038.3388888889</v>
      </c>
      <c r="B245" s="40" t="s">
        <v>38</v>
      </c>
      <c r="C245" s="41" t="s">
        <v>27</v>
      </c>
      <c r="D245" s="42" t="n">
        <v>109.54</v>
      </c>
      <c r="E245" s="43" t="n">
        <f aca="false">YEAR(A245)</f>
        <v>2026</v>
      </c>
      <c r="F245" s="43" t="n">
        <f aca="false">MONTH(A245)</f>
        <v>1</v>
      </c>
      <c r="G245" s="43" t="n">
        <f aca="false">E245*100+F245</f>
        <v>202601</v>
      </c>
      <c r="H245" s="43" t="str">
        <f aca="false">CHOOSE(F245,"Gen","Feb","Mar","Apr","Mag","Giu","Lug","Ago","Set","Ott","Nov","Dic")&amp;" "&amp;E245</f>
        <v>Gen 2026</v>
      </c>
      <c r="I245" s="43" t="n">
        <f aca="false">SUMPRODUCT(($A$2:$A$494&gt;A245)*1)+1</f>
        <v>250</v>
      </c>
      <c r="J245" s="43" t="str">
        <f aca="false">IF(G245=Supporto!$J$4,SUMPRODUCT(($G$2:$G$494=Supporto!$J$4)*($A$2:$A$494&gt;A245))+1,"")</f>
        <v/>
      </c>
    </row>
    <row r="246" customFormat="false" ht="15" hidden="false" customHeight="false" outlineLevel="0" collapsed="false">
      <c r="A246" s="39" t="n">
        <v>46038.6888888889</v>
      </c>
      <c r="B246" s="40" t="s">
        <v>26</v>
      </c>
      <c r="C246" s="41" t="s">
        <v>27</v>
      </c>
      <c r="D246" s="42" t="n">
        <v>13.09</v>
      </c>
      <c r="E246" s="43" t="n">
        <f aca="false">YEAR(A246)</f>
        <v>2026</v>
      </c>
      <c r="F246" s="43" t="n">
        <f aca="false">MONTH(A246)</f>
        <v>1</v>
      </c>
      <c r="G246" s="43" t="n">
        <f aca="false">E246*100+F246</f>
        <v>202601</v>
      </c>
      <c r="H246" s="43" t="str">
        <f aca="false">CHOOSE(F246,"Gen","Feb","Mar","Apr","Mag","Giu","Lug","Ago","Set","Ott","Nov","Dic")&amp;" "&amp;E246</f>
        <v>Gen 2026</v>
      </c>
      <c r="I246" s="43" t="n">
        <f aca="false">SUMPRODUCT(($A$2:$A$494&gt;A246)*1)+1</f>
        <v>249</v>
      </c>
      <c r="J246" s="43" t="str">
        <f aca="false">IF(G246=Supporto!$J$4,SUMPRODUCT(($G$2:$G$494=Supporto!$J$4)*($A$2:$A$494&gt;A246))+1,"")</f>
        <v/>
      </c>
    </row>
    <row r="247" customFormat="false" ht="15" hidden="false" customHeight="false" outlineLevel="0" collapsed="false">
      <c r="A247" s="39" t="n">
        <v>46038.7645833333</v>
      </c>
      <c r="B247" s="40" t="s">
        <v>30</v>
      </c>
      <c r="C247" s="41" t="s">
        <v>27</v>
      </c>
      <c r="D247" s="42" t="n">
        <v>8.39</v>
      </c>
      <c r="E247" s="43" t="n">
        <f aca="false">YEAR(A247)</f>
        <v>2026</v>
      </c>
      <c r="F247" s="43" t="n">
        <f aca="false">MONTH(A247)</f>
        <v>1</v>
      </c>
      <c r="G247" s="43" t="n">
        <f aca="false">E247*100+F247</f>
        <v>202601</v>
      </c>
      <c r="H247" s="43" t="str">
        <f aca="false">CHOOSE(F247,"Gen","Feb","Mar","Apr","Mag","Giu","Lug","Ago","Set","Ott","Nov","Dic")&amp;" "&amp;E247</f>
        <v>Gen 2026</v>
      </c>
      <c r="I247" s="43" t="n">
        <f aca="false">SUMPRODUCT(($A$2:$A$494&gt;A247)*1)+1</f>
        <v>248</v>
      </c>
      <c r="J247" s="43" t="str">
        <f aca="false">IF(G247=Supporto!$J$4,SUMPRODUCT(($G$2:$G$494=Supporto!$J$4)*($A$2:$A$494&gt;A247))+1,"")</f>
        <v/>
      </c>
    </row>
    <row r="248" customFormat="false" ht="15" hidden="false" customHeight="false" outlineLevel="0" collapsed="false">
      <c r="A248" s="39" t="n">
        <v>46040.4993055556</v>
      </c>
      <c r="B248" s="40" t="s">
        <v>28</v>
      </c>
      <c r="C248" s="41" t="s">
        <v>27</v>
      </c>
      <c r="D248" s="42" t="n">
        <v>170.66</v>
      </c>
      <c r="E248" s="43" t="n">
        <f aca="false">YEAR(A248)</f>
        <v>2026</v>
      </c>
      <c r="F248" s="43" t="n">
        <f aca="false">MONTH(A248)</f>
        <v>1</v>
      </c>
      <c r="G248" s="43" t="n">
        <f aca="false">E248*100+F248</f>
        <v>202601</v>
      </c>
      <c r="H248" s="43" t="str">
        <f aca="false">CHOOSE(F248,"Gen","Feb","Mar","Apr","Mag","Giu","Lug","Ago","Set","Ott","Nov","Dic")&amp;" "&amp;E248</f>
        <v>Gen 2026</v>
      </c>
      <c r="I248" s="43" t="n">
        <f aca="false">SUMPRODUCT(($A$2:$A$494&gt;A248)*1)+1</f>
        <v>247</v>
      </c>
      <c r="J248" s="43" t="str">
        <f aca="false">IF(G248=Supporto!$J$4,SUMPRODUCT(($G$2:$G$494=Supporto!$J$4)*($A$2:$A$494&gt;A248))+1,"")</f>
        <v/>
      </c>
    </row>
    <row r="249" customFormat="false" ht="15" hidden="false" customHeight="false" outlineLevel="0" collapsed="false">
      <c r="A249" s="39" t="n">
        <v>46044.9548611111</v>
      </c>
      <c r="B249" s="40" t="s">
        <v>30</v>
      </c>
      <c r="C249" s="41" t="s">
        <v>27</v>
      </c>
      <c r="D249" s="42" t="n">
        <v>6.06</v>
      </c>
      <c r="E249" s="43" t="n">
        <f aca="false">YEAR(A249)</f>
        <v>2026</v>
      </c>
      <c r="F249" s="43" t="n">
        <f aca="false">MONTH(A249)</f>
        <v>1</v>
      </c>
      <c r="G249" s="43" t="n">
        <f aca="false">E249*100+F249</f>
        <v>202601</v>
      </c>
      <c r="H249" s="43" t="str">
        <f aca="false">CHOOSE(F249,"Gen","Feb","Mar","Apr","Mag","Giu","Lug","Ago","Set","Ott","Nov","Dic")&amp;" "&amp;E249</f>
        <v>Gen 2026</v>
      </c>
      <c r="I249" s="43" t="n">
        <f aca="false">SUMPRODUCT(($A$2:$A$494&gt;A249)*1)+1</f>
        <v>246</v>
      </c>
      <c r="J249" s="43" t="str">
        <f aca="false">IF(G249=Supporto!$J$4,SUMPRODUCT(($G$2:$G$494=Supporto!$J$4)*($A$2:$A$494&gt;A249))+1,"")</f>
        <v/>
      </c>
    </row>
    <row r="250" customFormat="false" ht="15" hidden="false" customHeight="false" outlineLevel="0" collapsed="false">
      <c r="A250" s="39" t="n">
        <v>46045.6430555556</v>
      </c>
      <c r="B250" s="40" t="s">
        <v>26</v>
      </c>
      <c r="C250" s="41" t="s">
        <v>27</v>
      </c>
      <c r="D250" s="42" t="n">
        <v>38.34</v>
      </c>
      <c r="E250" s="43" t="n">
        <f aca="false">YEAR(A250)</f>
        <v>2026</v>
      </c>
      <c r="F250" s="43" t="n">
        <f aca="false">MONTH(A250)</f>
        <v>1</v>
      </c>
      <c r="G250" s="43" t="n">
        <f aca="false">E250*100+F250</f>
        <v>202601</v>
      </c>
      <c r="H250" s="43" t="str">
        <f aca="false">CHOOSE(F250,"Gen","Feb","Mar","Apr","Mag","Giu","Lug","Ago","Set","Ott","Nov","Dic")&amp;" "&amp;E250</f>
        <v>Gen 2026</v>
      </c>
      <c r="I250" s="43" t="n">
        <f aca="false">SUMPRODUCT(($A$2:$A$494&gt;A250)*1)+1</f>
        <v>245</v>
      </c>
      <c r="J250" s="43" t="str">
        <f aca="false">IF(G250=Supporto!$J$4,SUMPRODUCT(($G$2:$G$494=Supporto!$J$4)*($A$2:$A$494&gt;A250))+1,"")</f>
        <v/>
      </c>
    </row>
    <row r="251" customFormat="false" ht="15" hidden="false" customHeight="false" outlineLevel="0" collapsed="false">
      <c r="A251" s="39" t="n">
        <v>46046.9479166667</v>
      </c>
      <c r="B251" s="40" t="s">
        <v>35</v>
      </c>
      <c r="C251" s="41" t="s">
        <v>27</v>
      </c>
      <c r="D251" s="42" t="n">
        <v>6.1</v>
      </c>
      <c r="E251" s="43" t="n">
        <f aca="false">YEAR(A251)</f>
        <v>2026</v>
      </c>
      <c r="F251" s="43" t="n">
        <f aca="false">MONTH(A251)</f>
        <v>1</v>
      </c>
      <c r="G251" s="43" t="n">
        <f aca="false">E251*100+F251</f>
        <v>202601</v>
      </c>
      <c r="H251" s="43" t="str">
        <f aca="false">CHOOSE(F251,"Gen","Feb","Mar","Apr","Mag","Giu","Lug","Ago","Set","Ott","Nov","Dic")&amp;" "&amp;E251</f>
        <v>Gen 2026</v>
      </c>
      <c r="I251" s="43" t="n">
        <f aca="false">SUMPRODUCT(($A$2:$A$494&gt;A251)*1)+1</f>
        <v>244</v>
      </c>
      <c r="J251" s="43" t="str">
        <f aca="false">IF(G251=Supporto!$J$4,SUMPRODUCT(($G$2:$G$494=Supporto!$J$4)*($A$2:$A$494&gt;A251))+1,"")</f>
        <v/>
      </c>
    </row>
    <row r="252" customFormat="false" ht="15" hidden="false" customHeight="false" outlineLevel="0" collapsed="false">
      <c r="A252" s="39" t="n">
        <v>46047.8479166667</v>
      </c>
      <c r="B252" s="40" t="s">
        <v>33</v>
      </c>
      <c r="C252" s="41" t="s">
        <v>27</v>
      </c>
      <c r="D252" s="42" t="n">
        <v>22.53</v>
      </c>
      <c r="E252" s="43" t="n">
        <f aca="false">YEAR(A252)</f>
        <v>2026</v>
      </c>
      <c r="F252" s="43" t="n">
        <f aca="false">MONTH(A252)</f>
        <v>1</v>
      </c>
      <c r="G252" s="43" t="n">
        <f aca="false">E252*100+F252</f>
        <v>202601</v>
      </c>
      <c r="H252" s="43" t="str">
        <f aca="false">CHOOSE(F252,"Gen","Feb","Mar","Apr","Mag","Giu","Lug","Ago","Set","Ott","Nov","Dic")&amp;" "&amp;E252</f>
        <v>Gen 2026</v>
      </c>
      <c r="I252" s="43" t="n">
        <f aca="false">SUMPRODUCT(($A$2:$A$494&gt;A252)*1)+1</f>
        <v>243</v>
      </c>
      <c r="J252" s="43" t="str">
        <f aca="false">IF(G252=Supporto!$J$4,SUMPRODUCT(($G$2:$G$494=Supporto!$J$4)*($A$2:$A$494&gt;A252))+1,"")</f>
        <v/>
      </c>
    </row>
    <row r="253" customFormat="false" ht="15" hidden="false" customHeight="false" outlineLevel="0" collapsed="false">
      <c r="A253" s="39" t="n">
        <v>46048.6145833333</v>
      </c>
      <c r="B253" s="40" t="s">
        <v>34</v>
      </c>
      <c r="C253" s="41" t="s">
        <v>27</v>
      </c>
      <c r="D253" s="42" t="n">
        <v>4.41</v>
      </c>
      <c r="E253" s="43" t="n">
        <f aca="false">YEAR(A253)</f>
        <v>2026</v>
      </c>
      <c r="F253" s="43" t="n">
        <f aca="false">MONTH(A253)</f>
        <v>1</v>
      </c>
      <c r="G253" s="43" t="n">
        <f aca="false">E253*100+F253</f>
        <v>202601</v>
      </c>
      <c r="H253" s="43" t="str">
        <f aca="false">CHOOSE(F253,"Gen","Feb","Mar","Apr","Mag","Giu","Lug","Ago","Set","Ott","Nov","Dic")&amp;" "&amp;E253</f>
        <v>Gen 2026</v>
      </c>
      <c r="I253" s="43" t="n">
        <f aca="false">SUMPRODUCT(($A$2:$A$494&gt;A253)*1)+1</f>
        <v>242</v>
      </c>
      <c r="J253" s="43" t="str">
        <f aca="false">IF(G253=Supporto!$J$4,SUMPRODUCT(($G$2:$G$494=Supporto!$J$4)*($A$2:$A$494&gt;A253))+1,"")</f>
        <v/>
      </c>
    </row>
    <row r="254" customFormat="false" ht="15" hidden="false" customHeight="false" outlineLevel="0" collapsed="false">
      <c r="A254" s="39" t="n">
        <v>46048.6611111111</v>
      </c>
      <c r="B254" s="40" t="s">
        <v>33</v>
      </c>
      <c r="C254" s="41" t="s">
        <v>27</v>
      </c>
      <c r="D254" s="42" t="n">
        <v>4.26</v>
      </c>
      <c r="E254" s="43" t="n">
        <f aca="false">YEAR(A254)</f>
        <v>2026</v>
      </c>
      <c r="F254" s="43" t="n">
        <f aca="false">MONTH(A254)</f>
        <v>1</v>
      </c>
      <c r="G254" s="43" t="n">
        <f aca="false">E254*100+F254</f>
        <v>202601</v>
      </c>
      <c r="H254" s="43" t="str">
        <f aca="false">CHOOSE(F254,"Gen","Feb","Mar","Apr","Mag","Giu","Lug","Ago","Set","Ott","Nov","Dic")&amp;" "&amp;E254</f>
        <v>Gen 2026</v>
      </c>
      <c r="I254" s="43" t="n">
        <f aca="false">SUMPRODUCT(($A$2:$A$494&gt;A254)*1)+1</f>
        <v>241</v>
      </c>
      <c r="J254" s="43" t="str">
        <f aca="false">IF(G254=Supporto!$J$4,SUMPRODUCT(($G$2:$G$494=Supporto!$J$4)*($A$2:$A$494&gt;A254))+1,"")</f>
        <v/>
      </c>
    </row>
    <row r="255" customFormat="false" ht="15" hidden="false" customHeight="false" outlineLevel="0" collapsed="false">
      <c r="A255" s="39" t="n">
        <v>46048.8083333333</v>
      </c>
      <c r="B255" s="40" t="s">
        <v>35</v>
      </c>
      <c r="C255" s="41" t="s">
        <v>27</v>
      </c>
      <c r="D255" s="42" t="n">
        <v>133.74</v>
      </c>
      <c r="E255" s="43" t="n">
        <f aca="false">YEAR(A255)</f>
        <v>2026</v>
      </c>
      <c r="F255" s="43" t="n">
        <f aca="false">MONTH(A255)</f>
        <v>1</v>
      </c>
      <c r="G255" s="43" t="n">
        <f aca="false">E255*100+F255</f>
        <v>202601</v>
      </c>
      <c r="H255" s="43" t="str">
        <f aca="false">CHOOSE(F255,"Gen","Feb","Mar","Apr","Mag","Giu","Lug","Ago","Set","Ott","Nov","Dic")&amp;" "&amp;E255</f>
        <v>Gen 2026</v>
      </c>
      <c r="I255" s="43" t="n">
        <f aca="false">SUMPRODUCT(($A$2:$A$494&gt;A255)*1)+1</f>
        <v>240</v>
      </c>
      <c r="J255" s="43" t="str">
        <f aca="false">IF(G255=Supporto!$J$4,SUMPRODUCT(($G$2:$G$494=Supporto!$J$4)*($A$2:$A$494&gt;A255))+1,"")</f>
        <v/>
      </c>
    </row>
    <row r="256" customFormat="false" ht="15" hidden="false" customHeight="false" outlineLevel="0" collapsed="false">
      <c r="A256" s="39" t="n">
        <v>46049.3534722222</v>
      </c>
      <c r="B256" s="40" t="s">
        <v>29</v>
      </c>
      <c r="C256" s="41" t="s">
        <v>27</v>
      </c>
      <c r="D256" s="42" t="n">
        <v>149.71</v>
      </c>
      <c r="E256" s="43" t="n">
        <f aca="false">YEAR(A256)</f>
        <v>2026</v>
      </c>
      <c r="F256" s="43" t="n">
        <f aca="false">MONTH(A256)</f>
        <v>1</v>
      </c>
      <c r="G256" s="43" t="n">
        <f aca="false">E256*100+F256</f>
        <v>202601</v>
      </c>
      <c r="H256" s="43" t="str">
        <f aca="false">CHOOSE(F256,"Gen","Feb","Mar","Apr","Mag","Giu","Lug","Ago","Set","Ott","Nov","Dic")&amp;" "&amp;E256</f>
        <v>Gen 2026</v>
      </c>
      <c r="I256" s="43" t="n">
        <f aca="false">SUMPRODUCT(($A$2:$A$494&gt;A256)*1)+1</f>
        <v>239</v>
      </c>
      <c r="J256" s="43" t="str">
        <f aca="false">IF(G256=Supporto!$J$4,SUMPRODUCT(($G$2:$G$494=Supporto!$J$4)*($A$2:$A$494&gt;A256))+1,"")</f>
        <v/>
      </c>
    </row>
    <row r="257" customFormat="false" ht="15" hidden="false" customHeight="false" outlineLevel="0" collapsed="false">
      <c r="A257" s="39" t="n">
        <v>46049.375</v>
      </c>
      <c r="B257" s="40" t="s">
        <v>40</v>
      </c>
      <c r="C257" s="41" t="s">
        <v>32</v>
      </c>
      <c r="D257" s="42" t="n">
        <v>2337.18</v>
      </c>
      <c r="E257" s="43" t="n">
        <f aca="false">YEAR(A257)</f>
        <v>2026</v>
      </c>
      <c r="F257" s="43" t="n">
        <f aca="false">MONTH(A257)</f>
        <v>1</v>
      </c>
      <c r="G257" s="43" t="n">
        <f aca="false">E257*100+F257</f>
        <v>202601</v>
      </c>
      <c r="H257" s="43" t="str">
        <f aca="false">CHOOSE(F257,"Gen","Feb","Mar","Apr","Mag","Giu","Lug","Ago","Set","Ott","Nov","Dic")&amp;" "&amp;E257</f>
        <v>Gen 2026</v>
      </c>
      <c r="I257" s="43" t="n">
        <f aca="false">SUMPRODUCT(($A$2:$A$494&gt;A257)*1)+1</f>
        <v>238</v>
      </c>
      <c r="J257" s="43" t="str">
        <f aca="false">IF(G257=Supporto!$J$4,SUMPRODUCT(($G$2:$G$494=Supporto!$J$4)*($A$2:$A$494&gt;A257))+1,"")</f>
        <v/>
      </c>
    </row>
    <row r="258" customFormat="false" ht="15" hidden="false" customHeight="false" outlineLevel="0" collapsed="false">
      <c r="A258" s="39" t="n">
        <v>46049.3784722222</v>
      </c>
      <c r="B258" s="40" t="s">
        <v>41</v>
      </c>
      <c r="C258" s="41" t="s">
        <v>32</v>
      </c>
      <c r="D258" s="42" t="n">
        <v>2012.85</v>
      </c>
      <c r="E258" s="43" t="n">
        <f aca="false">YEAR(A258)</f>
        <v>2026</v>
      </c>
      <c r="F258" s="43" t="n">
        <f aca="false">MONTH(A258)</f>
        <v>1</v>
      </c>
      <c r="G258" s="43" t="n">
        <f aca="false">E258*100+F258</f>
        <v>202601</v>
      </c>
      <c r="H258" s="43" t="str">
        <f aca="false">CHOOSE(F258,"Gen","Feb","Mar","Apr","Mag","Giu","Lug","Ago","Set","Ott","Nov","Dic")&amp;" "&amp;E258</f>
        <v>Gen 2026</v>
      </c>
      <c r="I258" s="43" t="n">
        <f aca="false">SUMPRODUCT(($A$2:$A$494&gt;A258)*1)+1</f>
        <v>237</v>
      </c>
      <c r="J258" s="43" t="str">
        <f aca="false">IF(G258=Supporto!$J$4,SUMPRODUCT(($G$2:$G$494=Supporto!$J$4)*($A$2:$A$494&gt;A258))+1,"")</f>
        <v/>
      </c>
    </row>
    <row r="259" customFormat="false" ht="15" hidden="false" customHeight="false" outlineLevel="0" collapsed="false">
      <c r="A259" s="39" t="n">
        <v>46049.9375</v>
      </c>
      <c r="B259" s="40" t="s">
        <v>26</v>
      </c>
      <c r="C259" s="41" t="s">
        <v>27</v>
      </c>
      <c r="D259" s="42" t="n">
        <v>41.32</v>
      </c>
      <c r="E259" s="43" t="n">
        <f aca="false">YEAR(A259)</f>
        <v>2026</v>
      </c>
      <c r="F259" s="43" t="n">
        <f aca="false">MONTH(A259)</f>
        <v>1</v>
      </c>
      <c r="G259" s="43" t="n">
        <f aca="false">E259*100+F259</f>
        <v>202601</v>
      </c>
      <c r="H259" s="43" t="str">
        <f aca="false">CHOOSE(F259,"Gen","Feb","Mar","Apr","Mag","Giu","Lug","Ago","Set","Ott","Nov","Dic")&amp;" "&amp;E259</f>
        <v>Gen 2026</v>
      </c>
      <c r="I259" s="43" t="n">
        <f aca="false">SUMPRODUCT(($A$2:$A$494&gt;A259)*1)+1</f>
        <v>236</v>
      </c>
      <c r="J259" s="43" t="str">
        <f aca="false">IF(G259=Supporto!$J$4,SUMPRODUCT(($G$2:$G$494=Supporto!$J$4)*($A$2:$A$494&gt;A259))+1,"")</f>
        <v/>
      </c>
    </row>
    <row r="260" customFormat="false" ht="15" hidden="false" customHeight="false" outlineLevel="0" collapsed="false">
      <c r="A260" s="39" t="n">
        <v>46050.8930555556</v>
      </c>
      <c r="B260" s="40" t="s">
        <v>29</v>
      </c>
      <c r="C260" s="41" t="s">
        <v>27</v>
      </c>
      <c r="D260" s="42" t="n">
        <v>85.22</v>
      </c>
      <c r="E260" s="43" t="n">
        <f aca="false">YEAR(A260)</f>
        <v>2026</v>
      </c>
      <c r="F260" s="43" t="n">
        <f aca="false">MONTH(A260)</f>
        <v>1</v>
      </c>
      <c r="G260" s="43" t="n">
        <f aca="false">E260*100+F260</f>
        <v>202601</v>
      </c>
      <c r="H260" s="43" t="str">
        <f aca="false">CHOOSE(F260,"Gen","Feb","Mar","Apr","Mag","Giu","Lug","Ago","Set","Ott","Nov","Dic")&amp;" "&amp;E260</f>
        <v>Gen 2026</v>
      </c>
      <c r="I260" s="43" t="n">
        <f aca="false">SUMPRODUCT(($A$2:$A$494&gt;A260)*1)+1</f>
        <v>235</v>
      </c>
      <c r="J260" s="43" t="str">
        <f aca="false">IF(G260=Supporto!$J$4,SUMPRODUCT(($G$2:$G$494=Supporto!$J$4)*($A$2:$A$494&gt;A260))+1,"")</f>
        <v/>
      </c>
    </row>
    <row r="261" customFormat="false" ht="15" hidden="false" customHeight="false" outlineLevel="0" collapsed="false">
      <c r="A261" s="39" t="n">
        <v>46054.3472222222</v>
      </c>
      <c r="B261" s="40" t="s">
        <v>29</v>
      </c>
      <c r="C261" s="41" t="s">
        <v>27</v>
      </c>
      <c r="D261" s="42" t="n">
        <v>78.83</v>
      </c>
      <c r="E261" s="43" t="n">
        <f aca="false">YEAR(A261)</f>
        <v>2026</v>
      </c>
      <c r="F261" s="43" t="n">
        <f aca="false">MONTH(A261)</f>
        <v>2</v>
      </c>
      <c r="G261" s="43" t="n">
        <f aca="false">E261*100+F261</f>
        <v>202602</v>
      </c>
      <c r="H261" s="43" t="str">
        <f aca="false">CHOOSE(F261,"Gen","Feb","Mar","Apr","Mag","Giu","Lug","Ago","Set","Ott","Nov","Dic")&amp;" "&amp;E261</f>
        <v>Feb 2026</v>
      </c>
      <c r="I261" s="43" t="n">
        <f aca="false">SUMPRODUCT(($A$2:$A$494&gt;A261)*1)+1</f>
        <v>234</v>
      </c>
      <c r="J261" s="43" t="str">
        <f aca="false">IF(G261=Supporto!$J$4,SUMPRODUCT(($G$2:$G$494=Supporto!$J$4)*($A$2:$A$494&gt;A261))+1,"")</f>
        <v/>
      </c>
    </row>
    <row r="262" customFormat="false" ht="15" hidden="false" customHeight="false" outlineLevel="0" collapsed="false">
      <c r="A262" s="39" t="n">
        <v>46056.6111111111</v>
      </c>
      <c r="B262" s="40" t="s">
        <v>29</v>
      </c>
      <c r="C262" s="41" t="s">
        <v>27</v>
      </c>
      <c r="D262" s="42" t="n">
        <v>35.5</v>
      </c>
      <c r="E262" s="43" t="n">
        <f aca="false">YEAR(A262)</f>
        <v>2026</v>
      </c>
      <c r="F262" s="43" t="n">
        <f aca="false">MONTH(A262)</f>
        <v>2</v>
      </c>
      <c r="G262" s="43" t="n">
        <f aca="false">E262*100+F262</f>
        <v>202602</v>
      </c>
      <c r="H262" s="43" t="str">
        <f aca="false">CHOOSE(F262,"Gen","Feb","Mar","Apr","Mag","Giu","Lug","Ago","Set","Ott","Nov","Dic")&amp;" "&amp;E262</f>
        <v>Feb 2026</v>
      </c>
      <c r="I262" s="43" t="n">
        <f aca="false">SUMPRODUCT(($A$2:$A$494&gt;A262)*1)+1</f>
        <v>233</v>
      </c>
      <c r="J262" s="43" t="str">
        <f aca="false">IF(G262=Supporto!$J$4,SUMPRODUCT(($G$2:$G$494=Supporto!$J$4)*($A$2:$A$494&gt;A262))+1,"")</f>
        <v/>
      </c>
    </row>
    <row r="263" customFormat="false" ht="15" hidden="false" customHeight="false" outlineLevel="0" collapsed="false">
      <c r="A263" s="39" t="n">
        <v>46056.6805555556</v>
      </c>
      <c r="B263" s="40" t="s">
        <v>38</v>
      </c>
      <c r="C263" s="41" t="s">
        <v>27</v>
      </c>
      <c r="D263" s="42" t="n">
        <v>93.18</v>
      </c>
      <c r="E263" s="43" t="n">
        <f aca="false">YEAR(A263)</f>
        <v>2026</v>
      </c>
      <c r="F263" s="43" t="n">
        <f aca="false">MONTH(A263)</f>
        <v>2</v>
      </c>
      <c r="G263" s="43" t="n">
        <f aca="false">E263*100+F263</f>
        <v>202602</v>
      </c>
      <c r="H263" s="43" t="str">
        <f aca="false">CHOOSE(F263,"Gen","Feb","Mar","Apr","Mag","Giu","Lug","Ago","Set","Ott","Nov","Dic")&amp;" "&amp;E263</f>
        <v>Feb 2026</v>
      </c>
      <c r="I263" s="43" t="n">
        <f aca="false">SUMPRODUCT(($A$2:$A$494&gt;A263)*1)+1</f>
        <v>232</v>
      </c>
      <c r="J263" s="43" t="str">
        <f aca="false">IF(G263=Supporto!$J$4,SUMPRODUCT(($G$2:$G$494=Supporto!$J$4)*($A$2:$A$494&gt;A263))+1,"")</f>
        <v/>
      </c>
    </row>
    <row r="264" customFormat="false" ht="15" hidden="false" customHeight="false" outlineLevel="0" collapsed="false">
      <c r="A264" s="39" t="n">
        <v>46057.4361111111</v>
      </c>
      <c r="B264" s="40" t="s">
        <v>29</v>
      </c>
      <c r="C264" s="41" t="s">
        <v>27</v>
      </c>
      <c r="D264" s="42" t="n">
        <v>52.09</v>
      </c>
      <c r="E264" s="43" t="n">
        <f aca="false">YEAR(A264)</f>
        <v>2026</v>
      </c>
      <c r="F264" s="43" t="n">
        <f aca="false">MONTH(A264)</f>
        <v>2</v>
      </c>
      <c r="G264" s="43" t="n">
        <f aca="false">E264*100+F264</f>
        <v>202602</v>
      </c>
      <c r="H264" s="43" t="str">
        <f aca="false">CHOOSE(F264,"Gen","Feb","Mar","Apr","Mag","Giu","Lug","Ago","Set","Ott","Nov","Dic")&amp;" "&amp;E264</f>
        <v>Feb 2026</v>
      </c>
      <c r="I264" s="43" t="n">
        <f aca="false">SUMPRODUCT(($A$2:$A$494&gt;A264)*1)+1</f>
        <v>231</v>
      </c>
      <c r="J264" s="43" t="str">
        <f aca="false">IF(G264=Supporto!$J$4,SUMPRODUCT(($G$2:$G$494=Supporto!$J$4)*($A$2:$A$494&gt;A264))+1,"")</f>
        <v/>
      </c>
    </row>
    <row r="265" customFormat="false" ht="15" hidden="false" customHeight="false" outlineLevel="0" collapsed="false">
      <c r="A265" s="39" t="n">
        <v>46059.4020833333</v>
      </c>
      <c r="B265" s="40" t="s">
        <v>28</v>
      </c>
      <c r="C265" s="41" t="s">
        <v>27</v>
      </c>
      <c r="D265" s="42" t="n">
        <v>517.64</v>
      </c>
      <c r="E265" s="43" t="n">
        <f aca="false">YEAR(A265)</f>
        <v>2026</v>
      </c>
      <c r="F265" s="43" t="n">
        <f aca="false">MONTH(A265)</f>
        <v>2</v>
      </c>
      <c r="G265" s="43" t="n">
        <f aca="false">E265*100+F265</f>
        <v>202602</v>
      </c>
      <c r="H265" s="43" t="str">
        <f aca="false">CHOOSE(F265,"Gen","Feb","Mar","Apr","Mag","Giu","Lug","Ago","Set","Ott","Nov","Dic")&amp;" "&amp;E265</f>
        <v>Feb 2026</v>
      </c>
      <c r="I265" s="43" t="n">
        <f aca="false">SUMPRODUCT(($A$2:$A$494&gt;A265)*1)+1</f>
        <v>230</v>
      </c>
      <c r="J265" s="43" t="str">
        <f aca="false">IF(G265=Supporto!$J$4,SUMPRODUCT(($G$2:$G$494=Supporto!$J$4)*($A$2:$A$494&gt;A265))+1,"")</f>
        <v/>
      </c>
    </row>
    <row r="266" customFormat="false" ht="15" hidden="false" customHeight="false" outlineLevel="0" collapsed="false">
      <c r="A266" s="39" t="n">
        <v>46059.70625</v>
      </c>
      <c r="B266" s="40" t="s">
        <v>29</v>
      </c>
      <c r="C266" s="41" t="s">
        <v>27</v>
      </c>
      <c r="D266" s="42" t="n">
        <v>3.92</v>
      </c>
      <c r="E266" s="43" t="n">
        <f aca="false">YEAR(A266)</f>
        <v>2026</v>
      </c>
      <c r="F266" s="43" t="n">
        <f aca="false">MONTH(A266)</f>
        <v>2</v>
      </c>
      <c r="G266" s="43" t="n">
        <f aca="false">E266*100+F266</f>
        <v>202602</v>
      </c>
      <c r="H266" s="43" t="str">
        <f aca="false">CHOOSE(F266,"Gen","Feb","Mar","Apr","Mag","Giu","Lug","Ago","Set","Ott","Nov","Dic")&amp;" "&amp;E266</f>
        <v>Feb 2026</v>
      </c>
      <c r="I266" s="43" t="n">
        <f aca="false">SUMPRODUCT(($A$2:$A$494&gt;A266)*1)+1</f>
        <v>229</v>
      </c>
      <c r="J266" s="43" t="str">
        <f aca="false">IF(G266=Supporto!$J$4,SUMPRODUCT(($G$2:$G$494=Supporto!$J$4)*($A$2:$A$494&gt;A266))+1,"")</f>
        <v/>
      </c>
    </row>
    <row r="267" customFormat="false" ht="15" hidden="false" customHeight="false" outlineLevel="0" collapsed="false">
      <c r="A267" s="39" t="n">
        <v>46061.8166666667</v>
      </c>
      <c r="B267" s="40" t="s">
        <v>26</v>
      </c>
      <c r="C267" s="41" t="s">
        <v>27</v>
      </c>
      <c r="D267" s="42" t="n">
        <v>33.12</v>
      </c>
      <c r="E267" s="43" t="n">
        <f aca="false">YEAR(A267)</f>
        <v>2026</v>
      </c>
      <c r="F267" s="43" t="n">
        <f aca="false">MONTH(A267)</f>
        <v>2</v>
      </c>
      <c r="G267" s="43" t="n">
        <f aca="false">E267*100+F267</f>
        <v>202602</v>
      </c>
      <c r="H267" s="43" t="str">
        <f aca="false">CHOOSE(F267,"Gen","Feb","Mar","Apr","Mag","Giu","Lug","Ago","Set","Ott","Nov","Dic")&amp;" "&amp;E267</f>
        <v>Feb 2026</v>
      </c>
      <c r="I267" s="43" t="n">
        <f aca="false">SUMPRODUCT(($A$2:$A$494&gt;A267)*1)+1</f>
        <v>228</v>
      </c>
      <c r="J267" s="43" t="str">
        <f aca="false">IF(G267=Supporto!$J$4,SUMPRODUCT(($G$2:$G$494=Supporto!$J$4)*($A$2:$A$494&gt;A267))+1,"")</f>
        <v/>
      </c>
    </row>
    <row r="268" customFormat="false" ht="15" hidden="false" customHeight="false" outlineLevel="0" collapsed="false">
      <c r="A268" s="39" t="n">
        <v>46061.8583333333</v>
      </c>
      <c r="B268" s="40" t="s">
        <v>28</v>
      </c>
      <c r="C268" s="41" t="s">
        <v>27</v>
      </c>
      <c r="D268" s="42" t="n">
        <v>325.93</v>
      </c>
      <c r="E268" s="43" t="n">
        <f aca="false">YEAR(A268)</f>
        <v>2026</v>
      </c>
      <c r="F268" s="43" t="n">
        <f aca="false">MONTH(A268)</f>
        <v>2</v>
      </c>
      <c r="G268" s="43" t="n">
        <f aca="false">E268*100+F268</f>
        <v>202602</v>
      </c>
      <c r="H268" s="43" t="str">
        <f aca="false">CHOOSE(F268,"Gen","Feb","Mar","Apr","Mag","Giu","Lug","Ago","Set","Ott","Nov","Dic")&amp;" "&amp;E268</f>
        <v>Feb 2026</v>
      </c>
      <c r="I268" s="43" t="n">
        <f aca="false">SUMPRODUCT(($A$2:$A$494&gt;A268)*1)+1</f>
        <v>227</v>
      </c>
      <c r="J268" s="43" t="str">
        <f aca="false">IF(G268=Supporto!$J$4,SUMPRODUCT(($G$2:$G$494=Supporto!$J$4)*($A$2:$A$494&gt;A268))+1,"")</f>
        <v/>
      </c>
    </row>
    <row r="269" customFormat="false" ht="15" hidden="false" customHeight="false" outlineLevel="0" collapsed="false">
      <c r="A269" s="39" t="n">
        <v>46062.33125</v>
      </c>
      <c r="B269" s="40" t="s">
        <v>34</v>
      </c>
      <c r="C269" s="41" t="s">
        <v>27</v>
      </c>
      <c r="D269" s="42" t="n">
        <v>44.7</v>
      </c>
      <c r="E269" s="43" t="n">
        <f aca="false">YEAR(A269)</f>
        <v>2026</v>
      </c>
      <c r="F269" s="43" t="n">
        <f aca="false">MONTH(A269)</f>
        <v>2</v>
      </c>
      <c r="G269" s="43" t="n">
        <f aca="false">E269*100+F269</f>
        <v>202602</v>
      </c>
      <c r="H269" s="43" t="str">
        <f aca="false">CHOOSE(F269,"Gen","Feb","Mar","Apr","Mag","Giu","Lug","Ago","Set","Ott","Nov","Dic")&amp;" "&amp;E269</f>
        <v>Feb 2026</v>
      </c>
      <c r="I269" s="43" t="n">
        <f aca="false">SUMPRODUCT(($A$2:$A$494&gt;A269)*1)+1</f>
        <v>226</v>
      </c>
      <c r="J269" s="43" t="str">
        <f aca="false">IF(G269=Supporto!$J$4,SUMPRODUCT(($G$2:$G$494=Supporto!$J$4)*($A$2:$A$494&gt;A269))+1,"")</f>
        <v/>
      </c>
    </row>
    <row r="270" customFormat="false" ht="15" hidden="false" customHeight="false" outlineLevel="0" collapsed="false">
      <c r="A270" s="39" t="n">
        <v>46062.7708333333</v>
      </c>
      <c r="B270" s="40" t="s">
        <v>31</v>
      </c>
      <c r="C270" s="41" t="s">
        <v>32</v>
      </c>
      <c r="D270" s="42" t="n">
        <v>74.01</v>
      </c>
      <c r="E270" s="43" t="n">
        <f aca="false">YEAR(A270)</f>
        <v>2026</v>
      </c>
      <c r="F270" s="43" t="n">
        <f aca="false">MONTH(A270)</f>
        <v>2</v>
      </c>
      <c r="G270" s="43" t="n">
        <f aca="false">E270*100+F270</f>
        <v>202602</v>
      </c>
      <c r="H270" s="43" t="str">
        <f aca="false">CHOOSE(F270,"Gen","Feb","Mar","Apr","Mag","Giu","Lug","Ago","Set","Ott","Nov","Dic")&amp;" "&amp;E270</f>
        <v>Feb 2026</v>
      </c>
      <c r="I270" s="43" t="n">
        <f aca="false">SUMPRODUCT(($A$2:$A$494&gt;A270)*1)+1</f>
        <v>225</v>
      </c>
      <c r="J270" s="43" t="str">
        <f aca="false">IF(G270=Supporto!$J$4,SUMPRODUCT(($G$2:$G$494=Supporto!$J$4)*($A$2:$A$494&gt;A270))+1,"")</f>
        <v/>
      </c>
    </row>
    <row r="271" customFormat="false" ht="15" hidden="false" customHeight="false" outlineLevel="0" collapsed="false">
      <c r="A271" s="39" t="n">
        <v>46063.3284722222</v>
      </c>
      <c r="B271" s="40" t="s">
        <v>26</v>
      </c>
      <c r="C271" s="41" t="s">
        <v>27</v>
      </c>
      <c r="D271" s="42" t="n">
        <v>3.63</v>
      </c>
      <c r="E271" s="43" t="n">
        <f aca="false">YEAR(A271)</f>
        <v>2026</v>
      </c>
      <c r="F271" s="43" t="n">
        <f aca="false">MONTH(A271)</f>
        <v>2</v>
      </c>
      <c r="G271" s="43" t="n">
        <f aca="false">E271*100+F271</f>
        <v>202602</v>
      </c>
      <c r="H271" s="43" t="str">
        <f aca="false">CHOOSE(F271,"Gen","Feb","Mar","Apr","Mag","Giu","Lug","Ago","Set","Ott","Nov","Dic")&amp;" "&amp;E271</f>
        <v>Feb 2026</v>
      </c>
      <c r="I271" s="43" t="n">
        <f aca="false">SUMPRODUCT(($A$2:$A$494&gt;A271)*1)+1</f>
        <v>224</v>
      </c>
      <c r="J271" s="43" t="str">
        <f aca="false">IF(G271=Supporto!$J$4,SUMPRODUCT(($G$2:$G$494=Supporto!$J$4)*($A$2:$A$494&gt;A271))+1,"")</f>
        <v/>
      </c>
    </row>
    <row r="272" customFormat="false" ht="15" hidden="false" customHeight="false" outlineLevel="0" collapsed="false">
      <c r="A272" s="39" t="n">
        <v>46063.5027777778</v>
      </c>
      <c r="B272" s="40" t="s">
        <v>34</v>
      </c>
      <c r="C272" s="41" t="s">
        <v>27</v>
      </c>
      <c r="D272" s="42" t="n">
        <v>70.19</v>
      </c>
      <c r="E272" s="43" t="n">
        <f aca="false">YEAR(A272)</f>
        <v>2026</v>
      </c>
      <c r="F272" s="43" t="n">
        <f aca="false">MONTH(A272)</f>
        <v>2</v>
      </c>
      <c r="G272" s="43" t="n">
        <f aca="false">E272*100+F272</f>
        <v>202602</v>
      </c>
      <c r="H272" s="43" t="str">
        <f aca="false">CHOOSE(F272,"Gen","Feb","Mar","Apr","Mag","Giu","Lug","Ago","Set","Ott","Nov","Dic")&amp;" "&amp;E272</f>
        <v>Feb 2026</v>
      </c>
      <c r="I272" s="43" t="n">
        <f aca="false">SUMPRODUCT(($A$2:$A$494&gt;A272)*1)+1</f>
        <v>223</v>
      </c>
      <c r="J272" s="43" t="str">
        <f aca="false">IF(G272=Supporto!$J$4,SUMPRODUCT(($G$2:$G$494=Supporto!$J$4)*($A$2:$A$494&gt;A272))+1,"")</f>
        <v/>
      </c>
    </row>
    <row r="273" customFormat="false" ht="15" hidden="false" customHeight="false" outlineLevel="0" collapsed="false">
      <c r="A273" s="39" t="n">
        <v>46063.5583333333</v>
      </c>
      <c r="B273" s="40" t="s">
        <v>26</v>
      </c>
      <c r="C273" s="41" t="s">
        <v>27</v>
      </c>
      <c r="D273" s="42" t="n">
        <v>42.43</v>
      </c>
      <c r="E273" s="43" t="n">
        <f aca="false">YEAR(A273)</f>
        <v>2026</v>
      </c>
      <c r="F273" s="43" t="n">
        <f aca="false">MONTH(A273)</f>
        <v>2</v>
      </c>
      <c r="G273" s="43" t="n">
        <f aca="false">E273*100+F273</f>
        <v>202602</v>
      </c>
      <c r="H273" s="43" t="str">
        <f aca="false">CHOOSE(F273,"Gen","Feb","Mar","Apr","Mag","Giu","Lug","Ago","Set","Ott","Nov","Dic")&amp;" "&amp;E273</f>
        <v>Feb 2026</v>
      </c>
      <c r="I273" s="43" t="n">
        <f aca="false">SUMPRODUCT(($A$2:$A$494&gt;A273)*1)+1</f>
        <v>222</v>
      </c>
      <c r="J273" s="43" t="str">
        <f aca="false">IF(G273=Supporto!$J$4,SUMPRODUCT(($G$2:$G$494=Supporto!$J$4)*($A$2:$A$494&gt;A273))+1,"")</f>
        <v/>
      </c>
    </row>
    <row r="274" customFormat="false" ht="15" hidden="false" customHeight="false" outlineLevel="0" collapsed="false">
      <c r="A274" s="39" t="n">
        <v>46063.6097222222</v>
      </c>
      <c r="B274" s="40" t="s">
        <v>33</v>
      </c>
      <c r="C274" s="41" t="s">
        <v>27</v>
      </c>
      <c r="D274" s="42" t="n">
        <v>3.65</v>
      </c>
      <c r="E274" s="43" t="n">
        <f aca="false">YEAR(A274)</f>
        <v>2026</v>
      </c>
      <c r="F274" s="43" t="n">
        <f aca="false">MONTH(A274)</f>
        <v>2</v>
      </c>
      <c r="G274" s="43" t="n">
        <f aca="false">E274*100+F274</f>
        <v>202602</v>
      </c>
      <c r="H274" s="43" t="str">
        <f aca="false">CHOOSE(F274,"Gen","Feb","Mar","Apr","Mag","Giu","Lug","Ago","Set","Ott","Nov","Dic")&amp;" "&amp;E274</f>
        <v>Feb 2026</v>
      </c>
      <c r="I274" s="43" t="n">
        <f aca="false">SUMPRODUCT(($A$2:$A$494&gt;A274)*1)+1</f>
        <v>221</v>
      </c>
      <c r="J274" s="43" t="str">
        <f aca="false">IF(G274=Supporto!$J$4,SUMPRODUCT(($G$2:$G$494=Supporto!$J$4)*($A$2:$A$494&gt;A274))+1,"")</f>
        <v/>
      </c>
    </row>
    <row r="275" customFormat="false" ht="15" hidden="false" customHeight="false" outlineLevel="0" collapsed="false">
      <c r="A275" s="39" t="n">
        <v>46063.8763888889</v>
      </c>
      <c r="B275" s="40" t="s">
        <v>35</v>
      </c>
      <c r="C275" s="41" t="s">
        <v>27</v>
      </c>
      <c r="D275" s="42" t="n">
        <v>107.84</v>
      </c>
      <c r="E275" s="43" t="n">
        <f aca="false">YEAR(A275)</f>
        <v>2026</v>
      </c>
      <c r="F275" s="43" t="n">
        <f aca="false">MONTH(A275)</f>
        <v>2</v>
      </c>
      <c r="G275" s="43" t="n">
        <f aca="false">E275*100+F275</f>
        <v>202602</v>
      </c>
      <c r="H275" s="43" t="str">
        <f aca="false">CHOOSE(F275,"Gen","Feb","Mar","Apr","Mag","Giu","Lug","Ago","Set","Ott","Nov","Dic")&amp;" "&amp;E275</f>
        <v>Feb 2026</v>
      </c>
      <c r="I275" s="43" t="n">
        <f aca="false">SUMPRODUCT(($A$2:$A$494&gt;A275)*1)+1</f>
        <v>220</v>
      </c>
      <c r="J275" s="43" t="str">
        <f aca="false">IF(G275=Supporto!$J$4,SUMPRODUCT(($G$2:$G$494=Supporto!$J$4)*($A$2:$A$494&gt;A275))+1,"")</f>
        <v/>
      </c>
    </row>
    <row r="276" customFormat="false" ht="15" hidden="false" customHeight="false" outlineLevel="0" collapsed="false">
      <c r="A276" s="39" t="n">
        <v>46065.6972222222</v>
      </c>
      <c r="B276" s="40" t="s">
        <v>26</v>
      </c>
      <c r="C276" s="41" t="s">
        <v>27</v>
      </c>
      <c r="D276" s="42" t="n">
        <v>38.54</v>
      </c>
      <c r="E276" s="43" t="n">
        <f aca="false">YEAR(A276)</f>
        <v>2026</v>
      </c>
      <c r="F276" s="43" t="n">
        <f aca="false">MONTH(A276)</f>
        <v>2</v>
      </c>
      <c r="G276" s="43" t="n">
        <f aca="false">E276*100+F276</f>
        <v>202602</v>
      </c>
      <c r="H276" s="43" t="str">
        <f aca="false">CHOOSE(F276,"Gen","Feb","Mar","Apr","Mag","Giu","Lug","Ago","Set","Ott","Nov","Dic")&amp;" "&amp;E276</f>
        <v>Feb 2026</v>
      </c>
      <c r="I276" s="43" t="n">
        <f aca="false">SUMPRODUCT(($A$2:$A$494&gt;A276)*1)+1</f>
        <v>219</v>
      </c>
      <c r="J276" s="43" t="str">
        <f aca="false">IF(G276=Supporto!$J$4,SUMPRODUCT(($G$2:$G$494=Supporto!$J$4)*($A$2:$A$494&gt;A276))+1,"")</f>
        <v/>
      </c>
    </row>
    <row r="277" customFormat="false" ht="15" hidden="false" customHeight="false" outlineLevel="0" collapsed="false">
      <c r="A277" s="39" t="n">
        <v>46070.6618055556</v>
      </c>
      <c r="B277" s="40" t="s">
        <v>36</v>
      </c>
      <c r="C277" s="41" t="s">
        <v>27</v>
      </c>
      <c r="D277" s="42" t="n">
        <v>77.74</v>
      </c>
      <c r="E277" s="43" t="n">
        <f aca="false">YEAR(A277)</f>
        <v>2026</v>
      </c>
      <c r="F277" s="43" t="n">
        <f aca="false">MONTH(A277)</f>
        <v>2</v>
      </c>
      <c r="G277" s="43" t="n">
        <f aca="false">E277*100+F277</f>
        <v>202602</v>
      </c>
      <c r="H277" s="43" t="str">
        <f aca="false">CHOOSE(F277,"Gen","Feb","Mar","Apr","Mag","Giu","Lug","Ago","Set","Ott","Nov","Dic")&amp;" "&amp;E277</f>
        <v>Feb 2026</v>
      </c>
      <c r="I277" s="43" t="n">
        <f aca="false">SUMPRODUCT(($A$2:$A$494&gt;A277)*1)+1</f>
        <v>218</v>
      </c>
      <c r="J277" s="43" t="str">
        <f aca="false">IF(G277=Supporto!$J$4,SUMPRODUCT(($G$2:$G$494=Supporto!$J$4)*($A$2:$A$494&gt;A277))+1,"")</f>
        <v/>
      </c>
    </row>
    <row r="278" customFormat="false" ht="15" hidden="false" customHeight="false" outlineLevel="0" collapsed="false">
      <c r="A278" s="39" t="n">
        <v>46074.45625</v>
      </c>
      <c r="B278" s="40" t="s">
        <v>39</v>
      </c>
      <c r="C278" s="41" t="s">
        <v>27</v>
      </c>
      <c r="D278" s="42" t="n">
        <v>37.54</v>
      </c>
      <c r="E278" s="43" t="n">
        <f aca="false">YEAR(A278)</f>
        <v>2026</v>
      </c>
      <c r="F278" s="43" t="n">
        <f aca="false">MONTH(A278)</f>
        <v>2</v>
      </c>
      <c r="G278" s="43" t="n">
        <f aca="false">E278*100+F278</f>
        <v>202602</v>
      </c>
      <c r="H278" s="43" t="str">
        <f aca="false">CHOOSE(F278,"Gen","Feb","Mar","Apr","Mag","Giu","Lug","Ago","Set","Ott","Nov","Dic")&amp;" "&amp;E278</f>
        <v>Feb 2026</v>
      </c>
      <c r="I278" s="43" t="n">
        <f aca="false">SUMPRODUCT(($A$2:$A$494&gt;A278)*1)+1</f>
        <v>217</v>
      </c>
      <c r="J278" s="43" t="str">
        <f aca="false">IF(G278=Supporto!$J$4,SUMPRODUCT(($G$2:$G$494=Supporto!$J$4)*($A$2:$A$494&gt;A278))+1,"")</f>
        <v/>
      </c>
    </row>
    <row r="279" customFormat="false" ht="15" hidden="false" customHeight="false" outlineLevel="0" collapsed="false">
      <c r="A279" s="39" t="n">
        <v>46074.56875</v>
      </c>
      <c r="B279" s="40" t="s">
        <v>30</v>
      </c>
      <c r="C279" s="41" t="s">
        <v>27</v>
      </c>
      <c r="D279" s="42" t="n">
        <v>116.23</v>
      </c>
      <c r="E279" s="43" t="n">
        <f aca="false">YEAR(A279)</f>
        <v>2026</v>
      </c>
      <c r="F279" s="43" t="n">
        <f aca="false">MONTH(A279)</f>
        <v>2</v>
      </c>
      <c r="G279" s="43" t="n">
        <f aca="false">E279*100+F279</f>
        <v>202602</v>
      </c>
      <c r="H279" s="43" t="str">
        <f aca="false">CHOOSE(F279,"Gen","Feb","Mar","Apr","Mag","Giu","Lug","Ago","Set","Ott","Nov","Dic")&amp;" "&amp;E279</f>
        <v>Feb 2026</v>
      </c>
      <c r="I279" s="43" t="n">
        <f aca="false">SUMPRODUCT(($A$2:$A$494&gt;A279)*1)+1</f>
        <v>216</v>
      </c>
      <c r="J279" s="43" t="str">
        <f aca="false">IF(G279=Supporto!$J$4,SUMPRODUCT(($G$2:$G$494=Supporto!$J$4)*($A$2:$A$494&gt;A279))+1,"")</f>
        <v/>
      </c>
    </row>
    <row r="280" customFormat="false" ht="15" hidden="false" customHeight="false" outlineLevel="0" collapsed="false">
      <c r="A280" s="39" t="n">
        <v>46074.6451388889</v>
      </c>
      <c r="B280" s="40" t="s">
        <v>34</v>
      </c>
      <c r="C280" s="41" t="s">
        <v>27</v>
      </c>
      <c r="D280" s="42" t="n">
        <v>39.09</v>
      </c>
      <c r="E280" s="43" t="n">
        <f aca="false">YEAR(A280)</f>
        <v>2026</v>
      </c>
      <c r="F280" s="43" t="n">
        <f aca="false">MONTH(A280)</f>
        <v>2</v>
      </c>
      <c r="G280" s="43" t="n">
        <f aca="false">E280*100+F280</f>
        <v>202602</v>
      </c>
      <c r="H280" s="43" t="str">
        <f aca="false">CHOOSE(F280,"Gen","Feb","Mar","Apr","Mag","Giu","Lug","Ago","Set","Ott","Nov","Dic")&amp;" "&amp;E280</f>
        <v>Feb 2026</v>
      </c>
      <c r="I280" s="43" t="n">
        <f aca="false">SUMPRODUCT(($A$2:$A$494&gt;A280)*1)+1</f>
        <v>215</v>
      </c>
      <c r="J280" s="43" t="str">
        <f aca="false">IF(G280=Supporto!$J$4,SUMPRODUCT(($G$2:$G$494=Supporto!$J$4)*($A$2:$A$494&gt;A280))+1,"")</f>
        <v/>
      </c>
    </row>
    <row r="281" customFormat="false" ht="15" hidden="false" customHeight="false" outlineLevel="0" collapsed="false">
      <c r="A281" s="39" t="n">
        <v>46075.5069444445</v>
      </c>
      <c r="B281" s="40" t="s">
        <v>28</v>
      </c>
      <c r="C281" s="41" t="s">
        <v>27</v>
      </c>
      <c r="D281" s="42" t="n">
        <v>65.67</v>
      </c>
      <c r="E281" s="43" t="n">
        <f aca="false">YEAR(A281)</f>
        <v>2026</v>
      </c>
      <c r="F281" s="43" t="n">
        <f aca="false">MONTH(A281)</f>
        <v>2</v>
      </c>
      <c r="G281" s="43" t="n">
        <f aca="false">E281*100+F281</f>
        <v>202602</v>
      </c>
      <c r="H281" s="43" t="str">
        <f aca="false">CHOOSE(F281,"Gen","Feb","Mar","Apr","Mag","Giu","Lug","Ago","Set","Ott","Nov","Dic")&amp;" "&amp;E281</f>
        <v>Feb 2026</v>
      </c>
      <c r="I281" s="43" t="n">
        <f aca="false">SUMPRODUCT(($A$2:$A$494&gt;A281)*1)+1</f>
        <v>214</v>
      </c>
      <c r="J281" s="43" t="str">
        <f aca="false">IF(G281=Supporto!$J$4,SUMPRODUCT(($G$2:$G$494=Supporto!$J$4)*($A$2:$A$494&gt;A281))+1,"")</f>
        <v/>
      </c>
    </row>
    <row r="282" customFormat="false" ht="15" hidden="false" customHeight="false" outlineLevel="0" collapsed="false">
      <c r="A282" s="39" t="n">
        <v>46075.6763888889</v>
      </c>
      <c r="B282" s="40" t="s">
        <v>29</v>
      </c>
      <c r="C282" s="41" t="s">
        <v>27</v>
      </c>
      <c r="D282" s="42" t="n">
        <v>189.84</v>
      </c>
      <c r="E282" s="43" t="n">
        <f aca="false">YEAR(A282)</f>
        <v>2026</v>
      </c>
      <c r="F282" s="43" t="n">
        <f aca="false">MONTH(A282)</f>
        <v>2</v>
      </c>
      <c r="G282" s="43" t="n">
        <f aca="false">E282*100+F282</f>
        <v>202602</v>
      </c>
      <c r="H282" s="43" t="str">
        <f aca="false">CHOOSE(F282,"Gen","Feb","Mar","Apr","Mag","Giu","Lug","Ago","Set","Ott","Nov","Dic")&amp;" "&amp;E282</f>
        <v>Feb 2026</v>
      </c>
      <c r="I282" s="43" t="n">
        <f aca="false">SUMPRODUCT(($A$2:$A$494&gt;A282)*1)+1</f>
        <v>213</v>
      </c>
      <c r="J282" s="43" t="str">
        <f aca="false">IF(G282=Supporto!$J$4,SUMPRODUCT(($G$2:$G$494=Supporto!$J$4)*($A$2:$A$494&gt;A282))+1,"")</f>
        <v/>
      </c>
    </row>
    <row r="283" customFormat="false" ht="15" hidden="false" customHeight="false" outlineLevel="0" collapsed="false">
      <c r="A283" s="39" t="n">
        <v>46075.8034722222</v>
      </c>
      <c r="B283" s="40" t="s">
        <v>26</v>
      </c>
      <c r="C283" s="41" t="s">
        <v>27</v>
      </c>
      <c r="D283" s="42" t="n">
        <v>3</v>
      </c>
      <c r="E283" s="43" t="n">
        <f aca="false">YEAR(A283)</f>
        <v>2026</v>
      </c>
      <c r="F283" s="43" t="n">
        <f aca="false">MONTH(A283)</f>
        <v>2</v>
      </c>
      <c r="G283" s="43" t="n">
        <f aca="false">E283*100+F283</f>
        <v>202602</v>
      </c>
      <c r="H283" s="43" t="str">
        <f aca="false">CHOOSE(F283,"Gen","Feb","Mar","Apr","Mag","Giu","Lug","Ago","Set","Ott","Nov","Dic")&amp;" "&amp;E283</f>
        <v>Feb 2026</v>
      </c>
      <c r="I283" s="43" t="n">
        <f aca="false">SUMPRODUCT(($A$2:$A$494&gt;A283)*1)+1</f>
        <v>212</v>
      </c>
      <c r="J283" s="43" t="str">
        <f aca="false">IF(G283=Supporto!$J$4,SUMPRODUCT(($G$2:$G$494=Supporto!$J$4)*($A$2:$A$494&gt;A283))+1,"")</f>
        <v/>
      </c>
    </row>
    <row r="284" customFormat="false" ht="15" hidden="false" customHeight="false" outlineLevel="0" collapsed="false">
      <c r="A284" s="39" t="n">
        <v>46077.39375</v>
      </c>
      <c r="B284" s="40" t="s">
        <v>29</v>
      </c>
      <c r="C284" s="41" t="s">
        <v>27</v>
      </c>
      <c r="D284" s="42" t="n">
        <v>22.8</v>
      </c>
      <c r="E284" s="43" t="n">
        <f aca="false">YEAR(A284)</f>
        <v>2026</v>
      </c>
      <c r="F284" s="43" t="n">
        <f aca="false">MONTH(A284)</f>
        <v>2</v>
      </c>
      <c r="G284" s="43" t="n">
        <f aca="false">E284*100+F284</f>
        <v>202602</v>
      </c>
      <c r="H284" s="43" t="str">
        <f aca="false">CHOOSE(F284,"Gen","Feb","Mar","Apr","Mag","Giu","Lug","Ago","Set","Ott","Nov","Dic")&amp;" "&amp;E284</f>
        <v>Feb 2026</v>
      </c>
      <c r="I284" s="43" t="n">
        <f aca="false">SUMPRODUCT(($A$2:$A$494&gt;A284)*1)+1</f>
        <v>211</v>
      </c>
      <c r="J284" s="43" t="str">
        <f aca="false">IF(G284=Supporto!$J$4,SUMPRODUCT(($G$2:$G$494=Supporto!$J$4)*($A$2:$A$494&gt;A284))+1,"")</f>
        <v/>
      </c>
    </row>
    <row r="285" customFormat="false" ht="15" hidden="false" customHeight="false" outlineLevel="0" collapsed="false">
      <c r="A285" s="39" t="n">
        <v>46077.9534722222</v>
      </c>
      <c r="B285" s="40" t="s">
        <v>33</v>
      </c>
      <c r="C285" s="41" t="s">
        <v>27</v>
      </c>
      <c r="D285" s="42" t="n">
        <v>37.16</v>
      </c>
      <c r="E285" s="43" t="n">
        <f aca="false">YEAR(A285)</f>
        <v>2026</v>
      </c>
      <c r="F285" s="43" t="n">
        <f aca="false">MONTH(A285)</f>
        <v>2</v>
      </c>
      <c r="G285" s="43" t="n">
        <f aca="false">E285*100+F285</f>
        <v>202602</v>
      </c>
      <c r="H285" s="43" t="str">
        <f aca="false">CHOOSE(F285,"Gen","Feb","Mar","Apr","Mag","Giu","Lug","Ago","Set","Ott","Nov","Dic")&amp;" "&amp;E285</f>
        <v>Feb 2026</v>
      </c>
      <c r="I285" s="43" t="n">
        <f aca="false">SUMPRODUCT(($A$2:$A$494&gt;A285)*1)+1</f>
        <v>210</v>
      </c>
      <c r="J285" s="43" t="str">
        <f aca="false">IF(G285=Supporto!$J$4,SUMPRODUCT(($G$2:$G$494=Supporto!$J$4)*($A$2:$A$494&gt;A285))+1,"")</f>
        <v/>
      </c>
    </row>
    <row r="286" customFormat="false" ht="15" hidden="false" customHeight="false" outlineLevel="0" collapsed="false">
      <c r="A286" s="39" t="n">
        <v>46079.7729166667</v>
      </c>
      <c r="B286" s="40" t="s">
        <v>36</v>
      </c>
      <c r="C286" s="41" t="s">
        <v>27</v>
      </c>
      <c r="D286" s="42" t="n">
        <v>19.53</v>
      </c>
      <c r="E286" s="43" t="n">
        <f aca="false">YEAR(A286)</f>
        <v>2026</v>
      </c>
      <c r="F286" s="43" t="n">
        <f aca="false">MONTH(A286)</f>
        <v>2</v>
      </c>
      <c r="G286" s="43" t="n">
        <f aca="false">E286*100+F286</f>
        <v>202602</v>
      </c>
      <c r="H286" s="43" t="str">
        <f aca="false">CHOOSE(F286,"Gen","Feb","Mar","Apr","Mag","Giu","Lug","Ago","Set","Ott","Nov","Dic")&amp;" "&amp;E286</f>
        <v>Feb 2026</v>
      </c>
      <c r="I286" s="43" t="n">
        <f aca="false">SUMPRODUCT(($A$2:$A$494&gt;A286)*1)+1</f>
        <v>209</v>
      </c>
      <c r="J286" s="43" t="str">
        <f aca="false">IF(G286=Supporto!$J$4,SUMPRODUCT(($G$2:$G$494=Supporto!$J$4)*($A$2:$A$494&gt;A286))+1,"")</f>
        <v/>
      </c>
    </row>
    <row r="287" customFormat="false" ht="15" hidden="false" customHeight="false" outlineLevel="0" collapsed="false">
      <c r="A287" s="39" t="n">
        <v>46079.9145833333</v>
      </c>
      <c r="B287" s="40" t="s">
        <v>34</v>
      </c>
      <c r="C287" s="41" t="s">
        <v>27</v>
      </c>
      <c r="D287" s="42" t="n">
        <v>14.39</v>
      </c>
      <c r="E287" s="43" t="n">
        <f aca="false">YEAR(A287)</f>
        <v>2026</v>
      </c>
      <c r="F287" s="43" t="n">
        <f aca="false">MONTH(A287)</f>
        <v>2</v>
      </c>
      <c r="G287" s="43" t="n">
        <f aca="false">E287*100+F287</f>
        <v>202602</v>
      </c>
      <c r="H287" s="43" t="str">
        <f aca="false">CHOOSE(F287,"Gen","Feb","Mar","Apr","Mag","Giu","Lug","Ago","Set","Ott","Nov","Dic")&amp;" "&amp;E287</f>
        <v>Feb 2026</v>
      </c>
      <c r="I287" s="43" t="n">
        <f aca="false">SUMPRODUCT(($A$2:$A$494&gt;A287)*1)+1</f>
        <v>208</v>
      </c>
      <c r="J287" s="43" t="str">
        <f aca="false">IF(G287=Supporto!$J$4,SUMPRODUCT(($G$2:$G$494=Supporto!$J$4)*($A$2:$A$494&gt;A287))+1,"")</f>
        <v/>
      </c>
    </row>
    <row r="288" customFormat="false" ht="15" hidden="false" customHeight="false" outlineLevel="0" collapsed="false">
      <c r="A288" s="39" t="n">
        <v>46080.375</v>
      </c>
      <c r="B288" s="40" t="s">
        <v>40</v>
      </c>
      <c r="C288" s="41" t="s">
        <v>32</v>
      </c>
      <c r="D288" s="42" t="n">
        <v>2380.96</v>
      </c>
      <c r="E288" s="43" t="n">
        <f aca="false">YEAR(A288)</f>
        <v>2026</v>
      </c>
      <c r="F288" s="43" t="n">
        <f aca="false">MONTH(A288)</f>
        <v>2</v>
      </c>
      <c r="G288" s="43" t="n">
        <f aca="false">E288*100+F288</f>
        <v>202602</v>
      </c>
      <c r="H288" s="43" t="str">
        <f aca="false">CHOOSE(F288,"Gen","Feb","Mar","Apr","Mag","Giu","Lug","Ago","Set","Ott","Nov","Dic")&amp;" "&amp;E288</f>
        <v>Feb 2026</v>
      </c>
      <c r="I288" s="43" t="n">
        <f aca="false">SUMPRODUCT(($A$2:$A$494&gt;A288)*1)+1</f>
        <v>207</v>
      </c>
      <c r="J288" s="43" t="str">
        <f aca="false">IF(G288=Supporto!$J$4,SUMPRODUCT(($G$2:$G$494=Supporto!$J$4)*($A$2:$A$494&gt;A288))+1,"")</f>
        <v/>
      </c>
    </row>
    <row r="289" customFormat="false" ht="15" hidden="false" customHeight="false" outlineLevel="0" collapsed="false">
      <c r="A289" s="39" t="n">
        <v>46080.3784722222</v>
      </c>
      <c r="B289" s="40" t="s">
        <v>41</v>
      </c>
      <c r="C289" s="41" t="s">
        <v>32</v>
      </c>
      <c r="D289" s="42" t="n">
        <v>1880.87</v>
      </c>
      <c r="E289" s="43" t="n">
        <f aca="false">YEAR(A289)</f>
        <v>2026</v>
      </c>
      <c r="F289" s="43" t="n">
        <f aca="false">MONTH(A289)</f>
        <v>2</v>
      </c>
      <c r="G289" s="43" t="n">
        <f aca="false">E289*100+F289</f>
        <v>202602</v>
      </c>
      <c r="H289" s="43" t="str">
        <f aca="false">CHOOSE(F289,"Gen","Feb","Mar","Apr","Mag","Giu","Lug","Ago","Set","Ott","Nov","Dic")&amp;" "&amp;E289</f>
        <v>Feb 2026</v>
      </c>
      <c r="I289" s="43" t="n">
        <f aca="false">SUMPRODUCT(($A$2:$A$494&gt;A289)*1)+1</f>
        <v>206</v>
      </c>
      <c r="J289" s="43" t="str">
        <f aca="false">IF(G289=Supporto!$J$4,SUMPRODUCT(($G$2:$G$494=Supporto!$J$4)*($A$2:$A$494&gt;A289))+1,"")</f>
        <v/>
      </c>
    </row>
    <row r="290" customFormat="false" ht="15" hidden="false" customHeight="false" outlineLevel="0" collapsed="false">
      <c r="A290" s="39" t="n">
        <v>46081.3604166667</v>
      </c>
      <c r="B290" s="40" t="s">
        <v>29</v>
      </c>
      <c r="C290" s="41" t="s">
        <v>27</v>
      </c>
      <c r="D290" s="42" t="n">
        <v>177.48</v>
      </c>
      <c r="E290" s="43" t="n">
        <f aca="false">YEAR(A290)</f>
        <v>2026</v>
      </c>
      <c r="F290" s="43" t="n">
        <f aca="false">MONTH(A290)</f>
        <v>2</v>
      </c>
      <c r="G290" s="43" t="n">
        <f aca="false">E290*100+F290</f>
        <v>202602</v>
      </c>
      <c r="H290" s="43" t="str">
        <f aca="false">CHOOSE(F290,"Gen","Feb","Mar","Apr","Mag","Giu","Lug","Ago","Set","Ott","Nov","Dic")&amp;" "&amp;E290</f>
        <v>Feb 2026</v>
      </c>
      <c r="I290" s="43" t="n">
        <f aca="false">SUMPRODUCT(($A$2:$A$494&gt;A290)*1)+1</f>
        <v>205</v>
      </c>
      <c r="J290" s="43" t="str">
        <f aca="false">IF(G290=Supporto!$J$4,SUMPRODUCT(($G$2:$G$494=Supporto!$J$4)*($A$2:$A$494&gt;A290))+1,"")</f>
        <v/>
      </c>
    </row>
    <row r="291" customFormat="false" ht="15" hidden="false" customHeight="false" outlineLevel="0" collapsed="false">
      <c r="A291" s="39" t="n">
        <v>46081.9208333333</v>
      </c>
      <c r="B291" s="40" t="s">
        <v>26</v>
      </c>
      <c r="C291" s="41" t="s">
        <v>27</v>
      </c>
      <c r="D291" s="42" t="n">
        <v>22.37</v>
      </c>
      <c r="E291" s="43" t="n">
        <f aca="false">YEAR(A291)</f>
        <v>2026</v>
      </c>
      <c r="F291" s="43" t="n">
        <f aca="false">MONTH(A291)</f>
        <v>2</v>
      </c>
      <c r="G291" s="43" t="n">
        <f aca="false">E291*100+F291</f>
        <v>202602</v>
      </c>
      <c r="H291" s="43" t="str">
        <f aca="false">CHOOSE(F291,"Gen","Feb","Mar","Apr","Mag","Giu","Lug","Ago","Set","Ott","Nov","Dic")&amp;" "&amp;E291</f>
        <v>Feb 2026</v>
      </c>
      <c r="I291" s="43" t="n">
        <f aca="false">SUMPRODUCT(($A$2:$A$494&gt;A291)*1)+1</f>
        <v>204</v>
      </c>
      <c r="J291" s="43" t="str">
        <f aca="false">IF(G291=Supporto!$J$4,SUMPRODUCT(($G$2:$G$494=Supporto!$J$4)*($A$2:$A$494&gt;A291))+1,"")</f>
        <v/>
      </c>
    </row>
    <row r="292" customFormat="false" ht="15" hidden="false" customHeight="false" outlineLevel="0" collapsed="false">
      <c r="A292" s="39" t="n">
        <v>46083.3465277778</v>
      </c>
      <c r="B292" s="40" t="s">
        <v>28</v>
      </c>
      <c r="C292" s="41" t="s">
        <v>27</v>
      </c>
      <c r="D292" s="42" t="n">
        <v>266.02</v>
      </c>
      <c r="E292" s="43" t="n">
        <f aca="false">YEAR(A292)</f>
        <v>2026</v>
      </c>
      <c r="F292" s="43" t="n">
        <f aca="false">MONTH(A292)</f>
        <v>3</v>
      </c>
      <c r="G292" s="43" t="n">
        <f aca="false">E292*100+F292</f>
        <v>202603</v>
      </c>
      <c r="H292" s="43" t="str">
        <f aca="false">CHOOSE(F292,"Gen","Feb","Mar","Apr","Mag","Giu","Lug","Ago","Set","Ott","Nov","Dic")&amp;" "&amp;E292</f>
        <v>Mar 2026</v>
      </c>
      <c r="I292" s="43" t="n">
        <f aca="false">SUMPRODUCT(($A$2:$A$494&gt;A292)*1)+1</f>
        <v>203</v>
      </c>
      <c r="J292" s="43" t="str">
        <f aca="false">IF(G292=Supporto!$J$4,SUMPRODUCT(($G$2:$G$494=Supporto!$J$4)*($A$2:$A$494&gt;A292))+1,"")</f>
        <v/>
      </c>
    </row>
    <row r="293" customFormat="false" ht="15" hidden="false" customHeight="false" outlineLevel="0" collapsed="false">
      <c r="A293" s="39" t="n">
        <v>46085.2972222222</v>
      </c>
      <c r="B293" s="40" t="s">
        <v>35</v>
      </c>
      <c r="C293" s="41" t="s">
        <v>27</v>
      </c>
      <c r="D293" s="42" t="n">
        <v>95.63</v>
      </c>
      <c r="E293" s="43" t="n">
        <f aca="false">YEAR(A293)</f>
        <v>2026</v>
      </c>
      <c r="F293" s="43" t="n">
        <f aca="false">MONTH(A293)</f>
        <v>3</v>
      </c>
      <c r="G293" s="43" t="n">
        <f aca="false">E293*100+F293</f>
        <v>202603</v>
      </c>
      <c r="H293" s="43" t="str">
        <f aca="false">CHOOSE(F293,"Gen","Feb","Mar","Apr","Mag","Giu","Lug","Ago","Set","Ott","Nov","Dic")&amp;" "&amp;E293</f>
        <v>Mar 2026</v>
      </c>
      <c r="I293" s="43" t="n">
        <f aca="false">SUMPRODUCT(($A$2:$A$494&gt;A293)*1)+1</f>
        <v>202</v>
      </c>
      <c r="J293" s="43" t="str">
        <f aca="false">IF(G293=Supporto!$J$4,SUMPRODUCT(($G$2:$G$494=Supporto!$J$4)*($A$2:$A$494&gt;A293))+1,"")</f>
        <v/>
      </c>
    </row>
    <row r="294" customFormat="false" ht="15" hidden="false" customHeight="false" outlineLevel="0" collapsed="false">
      <c r="A294" s="39" t="n">
        <v>46086.8118055556</v>
      </c>
      <c r="B294" s="40" t="s">
        <v>34</v>
      </c>
      <c r="C294" s="41" t="s">
        <v>27</v>
      </c>
      <c r="D294" s="42" t="n">
        <v>17.46</v>
      </c>
      <c r="E294" s="43" t="n">
        <f aca="false">YEAR(A294)</f>
        <v>2026</v>
      </c>
      <c r="F294" s="43" t="n">
        <f aca="false">MONTH(A294)</f>
        <v>3</v>
      </c>
      <c r="G294" s="43" t="n">
        <f aca="false">E294*100+F294</f>
        <v>202603</v>
      </c>
      <c r="H294" s="43" t="str">
        <f aca="false">CHOOSE(F294,"Gen","Feb","Mar","Apr","Mag","Giu","Lug","Ago","Set","Ott","Nov","Dic")&amp;" "&amp;E294</f>
        <v>Mar 2026</v>
      </c>
      <c r="I294" s="43" t="n">
        <f aca="false">SUMPRODUCT(($A$2:$A$494&gt;A294)*1)+1</f>
        <v>201</v>
      </c>
      <c r="J294" s="43" t="str">
        <f aca="false">IF(G294=Supporto!$J$4,SUMPRODUCT(($G$2:$G$494=Supporto!$J$4)*($A$2:$A$494&gt;A294))+1,"")</f>
        <v/>
      </c>
    </row>
    <row r="295" customFormat="false" ht="15" hidden="false" customHeight="false" outlineLevel="0" collapsed="false">
      <c r="A295" s="39" t="n">
        <v>46086.85625</v>
      </c>
      <c r="B295" s="40" t="s">
        <v>36</v>
      </c>
      <c r="C295" s="41" t="s">
        <v>27</v>
      </c>
      <c r="D295" s="42" t="n">
        <v>45.68</v>
      </c>
      <c r="E295" s="43" t="n">
        <f aca="false">YEAR(A295)</f>
        <v>2026</v>
      </c>
      <c r="F295" s="43" t="n">
        <f aca="false">MONTH(A295)</f>
        <v>3</v>
      </c>
      <c r="G295" s="43" t="n">
        <f aca="false">E295*100+F295</f>
        <v>202603</v>
      </c>
      <c r="H295" s="43" t="str">
        <f aca="false">CHOOSE(F295,"Gen","Feb","Mar","Apr","Mag","Giu","Lug","Ago","Set","Ott","Nov","Dic")&amp;" "&amp;E295</f>
        <v>Mar 2026</v>
      </c>
      <c r="I295" s="43" t="n">
        <f aca="false">SUMPRODUCT(($A$2:$A$494&gt;A295)*1)+1</f>
        <v>200</v>
      </c>
      <c r="J295" s="43" t="str">
        <f aca="false">IF(G295=Supporto!$J$4,SUMPRODUCT(($G$2:$G$494=Supporto!$J$4)*($A$2:$A$494&gt;A295))+1,"")</f>
        <v/>
      </c>
    </row>
    <row r="296" customFormat="false" ht="15" hidden="false" customHeight="false" outlineLevel="0" collapsed="false">
      <c r="A296" s="39" t="n">
        <v>46088.5979166667</v>
      </c>
      <c r="B296" s="40" t="s">
        <v>30</v>
      </c>
      <c r="C296" s="41" t="s">
        <v>27</v>
      </c>
      <c r="D296" s="42" t="n">
        <v>86.61</v>
      </c>
      <c r="E296" s="43" t="n">
        <f aca="false">YEAR(A296)</f>
        <v>2026</v>
      </c>
      <c r="F296" s="43" t="n">
        <f aca="false">MONTH(A296)</f>
        <v>3</v>
      </c>
      <c r="G296" s="43" t="n">
        <f aca="false">E296*100+F296</f>
        <v>202603</v>
      </c>
      <c r="H296" s="43" t="str">
        <f aca="false">CHOOSE(F296,"Gen","Feb","Mar","Apr","Mag","Giu","Lug","Ago","Set","Ott","Nov","Dic")&amp;" "&amp;E296</f>
        <v>Mar 2026</v>
      </c>
      <c r="I296" s="43" t="n">
        <f aca="false">SUMPRODUCT(($A$2:$A$494&gt;A296)*1)+1</f>
        <v>199</v>
      </c>
      <c r="J296" s="43" t="str">
        <f aca="false">IF(G296=Supporto!$J$4,SUMPRODUCT(($G$2:$G$494=Supporto!$J$4)*($A$2:$A$494&gt;A296))+1,"")</f>
        <v/>
      </c>
    </row>
    <row r="297" customFormat="false" ht="15" hidden="false" customHeight="false" outlineLevel="0" collapsed="false">
      <c r="A297" s="39" t="n">
        <v>46090.3638888889</v>
      </c>
      <c r="B297" s="40" t="s">
        <v>26</v>
      </c>
      <c r="C297" s="41" t="s">
        <v>27</v>
      </c>
      <c r="D297" s="42" t="n">
        <v>85.01</v>
      </c>
      <c r="E297" s="43" t="n">
        <f aca="false">YEAR(A297)</f>
        <v>2026</v>
      </c>
      <c r="F297" s="43" t="n">
        <f aca="false">MONTH(A297)</f>
        <v>3</v>
      </c>
      <c r="G297" s="43" t="n">
        <f aca="false">E297*100+F297</f>
        <v>202603</v>
      </c>
      <c r="H297" s="43" t="str">
        <f aca="false">CHOOSE(F297,"Gen","Feb","Mar","Apr","Mag","Giu","Lug","Ago","Set","Ott","Nov","Dic")&amp;" "&amp;E297</f>
        <v>Mar 2026</v>
      </c>
      <c r="I297" s="43" t="n">
        <f aca="false">SUMPRODUCT(($A$2:$A$494&gt;A297)*1)+1</f>
        <v>198</v>
      </c>
      <c r="J297" s="43" t="str">
        <f aca="false">IF(G297=Supporto!$J$4,SUMPRODUCT(($G$2:$G$494=Supporto!$J$4)*($A$2:$A$494&gt;A297))+1,"")</f>
        <v/>
      </c>
    </row>
    <row r="298" customFormat="false" ht="15" hidden="false" customHeight="false" outlineLevel="0" collapsed="false">
      <c r="A298" s="39" t="n">
        <v>46090.4638888889</v>
      </c>
      <c r="B298" s="40" t="s">
        <v>39</v>
      </c>
      <c r="C298" s="41" t="s">
        <v>27</v>
      </c>
      <c r="D298" s="42" t="n">
        <v>83.04</v>
      </c>
      <c r="E298" s="43" t="n">
        <f aca="false">YEAR(A298)</f>
        <v>2026</v>
      </c>
      <c r="F298" s="43" t="n">
        <f aca="false">MONTH(A298)</f>
        <v>3</v>
      </c>
      <c r="G298" s="43" t="n">
        <f aca="false">E298*100+F298</f>
        <v>202603</v>
      </c>
      <c r="H298" s="43" t="str">
        <f aca="false">CHOOSE(F298,"Gen","Feb","Mar","Apr","Mag","Giu","Lug","Ago","Set","Ott","Nov","Dic")&amp;" "&amp;E298</f>
        <v>Mar 2026</v>
      </c>
      <c r="I298" s="43" t="n">
        <f aca="false">SUMPRODUCT(($A$2:$A$494&gt;A298)*1)+1</f>
        <v>197</v>
      </c>
      <c r="J298" s="43" t="str">
        <f aca="false">IF(G298=Supporto!$J$4,SUMPRODUCT(($G$2:$G$494=Supporto!$J$4)*($A$2:$A$494&gt;A298))+1,"")</f>
        <v/>
      </c>
    </row>
    <row r="299" customFormat="false" ht="15" hidden="false" customHeight="false" outlineLevel="0" collapsed="false">
      <c r="A299" s="39" t="n">
        <v>46092.7708333333</v>
      </c>
      <c r="B299" s="40" t="s">
        <v>31</v>
      </c>
      <c r="C299" s="41" t="s">
        <v>32</v>
      </c>
      <c r="D299" s="42" t="n">
        <v>134.55</v>
      </c>
      <c r="E299" s="43" t="n">
        <f aca="false">YEAR(A299)</f>
        <v>2026</v>
      </c>
      <c r="F299" s="43" t="n">
        <f aca="false">MONTH(A299)</f>
        <v>3</v>
      </c>
      <c r="G299" s="43" t="n">
        <f aca="false">E299*100+F299</f>
        <v>202603</v>
      </c>
      <c r="H299" s="43" t="str">
        <f aca="false">CHOOSE(F299,"Gen","Feb","Mar","Apr","Mag","Giu","Lug","Ago","Set","Ott","Nov","Dic")&amp;" "&amp;E299</f>
        <v>Mar 2026</v>
      </c>
      <c r="I299" s="43" t="n">
        <f aca="false">SUMPRODUCT(($A$2:$A$494&gt;A299)*1)+1</f>
        <v>196</v>
      </c>
      <c r="J299" s="43" t="str">
        <f aca="false">IF(G299=Supporto!$J$4,SUMPRODUCT(($G$2:$G$494=Supporto!$J$4)*($A$2:$A$494&gt;A299))+1,"")</f>
        <v/>
      </c>
    </row>
    <row r="300" customFormat="false" ht="15" hidden="false" customHeight="false" outlineLevel="0" collapsed="false">
      <c r="A300" s="39" t="n">
        <v>46093.4097222222</v>
      </c>
      <c r="B300" s="40" t="s">
        <v>29</v>
      </c>
      <c r="C300" s="41" t="s">
        <v>27</v>
      </c>
      <c r="D300" s="42" t="n">
        <v>335.17</v>
      </c>
      <c r="E300" s="43" t="n">
        <f aca="false">YEAR(A300)</f>
        <v>2026</v>
      </c>
      <c r="F300" s="43" t="n">
        <f aca="false">MONTH(A300)</f>
        <v>3</v>
      </c>
      <c r="G300" s="43" t="n">
        <f aca="false">E300*100+F300</f>
        <v>202603</v>
      </c>
      <c r="H300" s="43" t="str">
        <f aca="false">CHOOSE(F300,"Gen","Feb","Mar","Apr","Mag","Giu","Lug","Ago","Set","Ott","Nov","Dic")&amp;" "&amp;E300</f>
        <v>Mar 2026</v>
      </c>
      <c r="I300" s="43" t="n">
        <f aca="false">SUMPRODUCT(($A$2:$A$494&gt;A300)*1)+1</f>
        <v>195</v>
      </c>
      <c r="J300" s="43" t="str">
        <f aca="false">IF(G300=Supporto!$J$4,SUMPRODUCT(($G$2:$G$494=Supporto!$J$4)*($A$2:$A$494&gt;A300))+1,"")</f>
        <v/>
      </c>
    </row>
    <row r="301" customFormat="false" ht="15" hidden="false" customHeight="false" outlineLevel="0" collapsed="false">
      <c r="A301" s="39" t="n">
        <v>46093.4465277778</v>
      </c>
      <c r="B301" s="40" t="s">
        <v>26</v>
      </c>
      <c r="C301" s="41" t="s">
        <v>27</v>
      </c>
      <c r="D301" s="42" t="n">
        <v>8.42</v>
      </c>
      <c r="E301" s="43" t="n">
        <f aca="false">YEAR(A301)</f>
        <v>2026</v>
      </c>
      <c r="F301" s="43" t="n">
        <f aca="false">MONTH(A301)</f>
        <v>3</v>
      </c>
      <c r="G301" s="43" t="n">
        <f aca="false">E301*100+F301</f>
        <v>202603</v>
      </c>
      <c r="H301" s="43" t="str">
        <f aca="false">CHOOSE(F301,"Gen","Feb","Mar","Apr","Mag","Giu","Lug","Ago","Set","Ott","Nov","Dic")&amp;" "&amp;E301</f>
        <v>Mar 2026</v>
      </c>
      <c r="I301" s="43" t="n">
        <f aca="false">SUMPRODUCT(($A$2:$A$494&gt;A301)*1)+1</f>
        <v>194</v>
      </c>
      <c r="J301" s="43" t="str">
        <f aca="false">IF(G301=Supporto!$J$4,SUMPRODUCT(($G$2:$G$494=Supporto!$J$4)*($A$2:$A$494&gt;A301))+1,"")</f>
        <v/>
      </c>
    </row>
    <row r="302" customFormat="false" ht="15" hidden="false" customHeight="false" outlineLevel="0" collapsed="false">
      <c r="A302" s="39" t="n">
        <v>46093.5611111111</v>
      </c>
      <c r="B302" s="40" t="s">
        <v>26</v>
      </c>
      <c r="C302" s="41" t="s">
        <v>27</v>
      </c>
      <c r="D302" s="42" t="n">
        <v>30.11</v>
      </c>
      <c r="E302" s="43" t="n">
        <f aca="false">YEAR(A302)</f>
        <v>2026</v>
      </c>
      <c r="F302" s="43" t="n">
        <f aca="false">MONTH(A302)</f>
        <v>3</v>
      </c>
      <c r="G302" s="43" t="n">
        <f aca="false">E302*100+F302</f>
        <v>202603</v>
      </c>
      <c r="H302" s="43" t="str">
        <f aca="false">CHOOSE(F302,"Gen","Feb","Mar","Apr","Mag","Giu","Lug","Ago","Set","Ott","Nov","Dic")&amp;" "&amp;E302</f>
        <v>Mar 2026</v>
      </c>
      <c r="I302" s="43" t="n">
        <f aca="false">SUMPRODUCT(($A$2:$A$494&gt;A302)*1)+1</f>
        <v>193</v>
      </c>
      <c r="J302" s="43" t="str">
        <f aca="false">IF(G302=Supporto!$J$4,SUMPRODUCT(($G$2:$G$494=Supporto!$J$4)*($A$2:$A$494&gt;A302))+1,"")</f>
        <v/>
      </c>
    </row>
    <row r="303" customFormat="false" ht="15" hidden="false" customHeight="false" outlineLevel="0" collapsed="false">
      <c r="A303" s="39" t="n">
        <v>46093.6506944444</v>
      </c>
      <c r="B303" s="40" t="s">
        <v>29</v>
      </c>
      <c r="C303" s="41" t="s">
        <v>27</v>
      </c>
      <c r="D303" s="42" t="n">
        <v>49.58</v>
      </c>
      <c r="E303" s="43" t="n">
        <f aca="false">YEAR(A303)</f>
        <v>2026</v>
      </c>
      <c r="F303" s="43" t="n">
        <f aca="false">MONTH(A303)</f>
        <v>3</v>
      </c>
      <c r="G303" s="43" t="n">
        <f aca="false">E303*100+F303</f>
        <v>202603</v>
      </c>
      <c r="H303" s="43" t="str">
        <f aca="false">CHOOSE(F303,"Gen","Feb","Mar","Apr","Mag","Giu","Lug","Ago","Set","Ott","Nov","Dic")&amp;" "&amp;E303</f>
        <v>Mar 2026</v>
      </c>
      <c r="I303" s="43" t="n">
        <f aca="false">SUMPRODUCT(($A$2:$A$494&gt;A303)*1)+1</f>
        <v>192</v>
      </c>
      <c r="J303" s="43" t="str">
        <f aca="false">IF(G303=Supporto!$J$4,SUMPRODUCT(($G$2:$G$494=Supporto!$J$4)*($A$2:$A$494&gt;A303))+1,"")</f>
        <v/>
      </c>
    </row>
    <row r="304" customFormat="false" ht="15" hidden="false" customHeight="false" outlineLevel="0" collapsed="false">
      <c r="A304" s="39" t="n">
        <v>46093.8590277778</v>
      </c>
      <c r="B304" s="40" t="s">
        <v>34</v>
      </c>
      <c r="C304" s="41" t="s">
        <v>27</v>
      </c>
      <c r="D304" s="42" t="n">
        <v>141.92</v>
      </c>
      <c r="E304" s="43" t="n">
        <f aca="false">YEAR(A304)</f>
        <v>2026</v>
      </c>
      <c r="F304" s="43" t="n">
        <f aca="false">MONTH(A304)</f>
        <v>3</v>
      </c>
      <c r="G304" s="43" t="n">
        <f aca="false">E304*100+F304</f>
        <v>202603</v>
      </c>
      <c r="H304" s="43" t="str">
        <f aca="false">CHOOSE(F304,"Gen","Feb","Mar","Apr","Mag","Giu","Lug","Ago","Set","Ott","Nov","Dic")&amp;" "&amp;E304</f>
        <v>Mar 2026</v>
      </c>
      <c r="I304" s="43" t="n">
        <f aca="false">SUMPRODUCT(($A$2:$A$494&gt;A304)*1)+1</f>
        <v>191</v>
      </c>
      <c r="J304" s="43" t="str">
        <f aca="false">IF(G304=Supporto!$J$4,SUMPRODUCT(($G$2:$G$494=Supporto!$J$4)*($A$2:$A$494&gt;A304))+1,"")</f>
        <v/>
      </c>
    </row>
    <row r="305" customFormat="false" ht="15" hidden="false" customHeight="false" outlineLevel="0" collapsed="false">
      <c r="A305" s="39" t="n">
        <v>46094.3027777778</v>
      </c>
      <c r="B305" s="40" t="s">
        <v>29</v>
      </c>
      <c r="C305" s="41" t="s">
        <v>27</v>
      </c>
      <c r="D305" s="42" t="n">
        <v>37.2</v>
      </c>
      <c r="E305" s="43" t="n">
        <f aca="false">YEAR(A305)</f>
        <v>2026</v>
      </c>
      <c r="F305" s="43" t="n">
        <f aca="false">MONTH(A305)</f>
        <v>3</v>
      </c>
      <c r="G305" s="43" t="n">
        <f aca="false">E305*100+F305</f>
        <v>202603</v>
      </c>
      <c r="H305" s="43" t="str">
        <f aca="false">CHOOSE(F305,"Gen","Feb","Mar","Apr","Mag","Giu","Lug","Ago","Set","Ott","Nov","Dic")&amp;" "&amp;E305</f>
        <v>Mar 2026</v>
      </c>
      <c r="I305" s="43" t="n">
        <f aca="false">SUMPRODUCT(($A$2:$A$494&gt;A305)*1)+1</f>
        <v>190</v>
      </c>
      <c r="J305" s="43" t="str">
        <f aca="false">IF(G305=Supporto!$J$4,SUMPRODUCT(($G$2:$G$494=Supporto!$J$4)*($A$2:$A$494&gt;A305))+1,"")</f>
        <v/>
      </c>
    </row>
    <row r="306" customFormat="false" ht="15" hidden="false" customHeight="false" outlineLevel="0" collapsed="false">
      <c r="A306" s="39" t="n">
        <v>46094.7541666667</v>
      </c>
      <c r="B306" s="40" t="s">
        <v>29</v>
      </c>
      <c r="C306" s="41" t="s">
        <v>27</v>
      </c>
      <c r="D306" s="42" t="n">
        <v>5.86</v>
      </c>
      <c r="E306" s="43" t="n">
        <f aca="false">YEAR(A306)</f>
        <v>2026</v>
      </c>
      <c r="F306" s="43" t="n">
        <f aca="false">MONTH(A306)</f>
        <v>3</v>
      </c>
      <c r="G306" s="43" t="n">
        <f aca="false">E306*100+F306</f>
        <v>202603</v>
      </c>
      <c r="H306" s="43" t="str">
        <f aca="false">CHOOSE(F306,"Gen","Feb","Mar","Apr","Mag","Giu","Lug","Ago","Set","Ott","Nov","Dic")&amp;" "&amp;E306</f>
        <v>Mar 2026</v>
      </c>
      <c r="I306" s="43" t="n">
        <f aca="false">SUMPRODUCT(($A$2:$A$494&gt;A306)*1)+1</f>
        <v>189</v>
      </c>
      <c r="J306" s="43" t="str">
        <f aca="false">IF(G306=Supporto!$J$4,SUMPRODUCT(($G$2:$G$494=Supporto!$J$4)*($A$2:$A$494&gt;A306))+1,"")</f>
        <v/>
      </c>
    </row>
    <row r="307" customFormat="false" ht="15" hidden="false" customHeight="false" outlineLevel="0" collapsed="false">
      <c r="A307" s="39" t="n">
        <v>46095.4222222222</v>
      </c>
      <c r="B307" s="40" t="s">
        <v>28</v>
      </c>
      <c r="C307" s="41" t="s">
        <v>27</v>
      </c>
      <c r="D307" s="42" t="n">
        <v>28.37</v>
      </c>
      <c r="E307" s="43" t="n">
        <f aca="false">YEAR(A307)</f>
        <v>2026</v>
      </c>
      <c r="F307" s="43" t="n">
        <f aca="false">MONTH(A307)</f>
        <v>3</v>
      </c>
      <c r="G307" s="43" t="n">
        <f aca="false">E307*100+F307</f>
        <v>202603</v>
      </c>
      <c r="H307" s="43" t="str">
        <f aca="false">CHOOSE(F307,"Gen","Feb","Mar","Apr","Mag","Giu","Lug","Ago","Set","Ott","Nov","Dic")&amp;" "&amp;E307</f>
        <v>Mar 2026</v>
      </c>
      <c r="I307" s="43" t="n">
        <f aca="false">SUMPRODUCT(($A$2:$A$494&gt;A307)*1)+1</f>
        <v>188</v>
      </c>
      <c r="J307" s="43" t="str">
        <f aca="false">IF(G307=Supporto!$J$4,SUMPRODUCT(($G$2:$G$494=Supporto!$J$4)*($A$2:$A$494&gt;A307))+1,"")</f>
        <v/>
      </c>
    </row>
    <row r="308" customFormat="false" ht="15" hidden="false" customHeight="false" outlineLevel="0" collapsed="false">
      <c r="A308" s="39" t="n">
        <v>46096.6208333333</v>
      </c>
      <c r="B308" s="40" t="s">
        <v>26</v>
      </c>
      <c r="C308" s="41" t="s">
        <v>27</v>
      </c>
      <c r="D308" s="42" t="n">
        <v>14.55</v>
      </c>
      <c r="E308" s="43" t="n">
        <f aca="false">YEAR(A308)</f>
        <v>2026</v>
      </c>
      <c r="F308" s="43" t="n">
        <f aca="false">MONTH(A308)</f>
        <v>3</v>
      </c>
      <c r="G308" s="43" t="n">
        <f aca="false">E308*100+F308</f>
        <v>202603</v>
      </c>
      <c r="H308" s="43" t="str">
        <f aca="false">CHOOSE(F308,"Gen","Feb","Mar","Apr","Mag","Giu","Lug","Ago","Set","Ott","Nov","Dic")&amp;" "&amp;E308</f>
        <v>Mar 2026</v>
      </c>
      <c r="I308" s="43" t="n">
        <f aca="false">SUMPRODUCT(($A$2:$A$494&gt;A308)*1)+1</f>
        <v>187</v>
      </c>
      <c r="J308" s="43" t="str">
        <f aca="false">IF(G308=Supporto!$J$4,SUMPRODUCT(($G$2:$G$494=Supporto!$J$4)*($A$2:$A$494&gt;A308))+1,"")</f>
        <v/>
      </c>
    </row>
    <row r="309" customFormat="false" ht="15" hidden="false" customHeight="false" outlineLevel="0" collapsed="false">
      <c r="A309" s="39" t="n">
        <v>46098.4166666667</v>
      </c>
      <c r="B309" s="40" t="s">
        <v>42</v>
      </c>
      <c r="C309" s="41" t="s">
        <v>32</v>
      </c>
      <c r="D309" s="42" t="n">
        <v>586.95</v>
      </c>
      <c r="E309" s="43" t="n">
        <f aca="false">YEAR(A309)</f>
        <v>2026</v>
      </c>
      <c r="F309" s="43" t="n">
        <f aca="false">MONTH(A309)</f>
        <v>3</v>
      </c>
      <c r="G309" s="43" t="n">
        <f aca="false">E309*100+F309</f>
        <v>202603</v>
      </c>
      <c r="H309" s="43" t="str">
        <f aca="false">CHOOSE(F309,"Gen","Feb","Mar","Apr","Mag","Giu","Lug","Ago","Set","Ott","Nov","Dic")&amp;" "&amp;E309</f>
        <v>Mar 2026</v>
      </c>
      <c r="I309" s="43" t="n">
        <f aca="false">SUMPRODUCT(($A$2:$A$494&gt;A309)*1)+1</f>
        <v>186</v>
      </c>
      <c r="J309" s="43" t="str">
        <f aca="false">IF(G309=Supporto!$J$4,SUMPRODUCT(($G$2:$G$494=Supporto!$J$4)*($A$2:$A$494&gt;A309))+1,"")</f>
        <v/>
      </c>
    </row>
    <row r="310" customFormat="false" ht="15" hidden="false" customHeight="false" outlineLevel="0" collapsed="false">
      <c r="A310" s="39" t="n">
        <v>46099.4368055556</v>
      </c>
      <c r="B310" s="40" t="s">
        <v>29</v>
      </c>
      <c r="C310" s="41" t="s">
        <v>27</v>
      </c>
      <c r="D310" s="42" t="n">
        <v>25.71</v>
      </c>
      <c r="E310" s="43" t="n">
        <f aca="false">YEAR(A310)</f>
        <v>2026</v>
      </c>
      <c r="F310" s="43" t="n">
        <f aca="false">MONTH(A310)</f>
        <v>3</v>
      </c>
      <c r="G310" s="43" t="n">
        <f aca="false">E310*100+F310</f>
        <v>202603</v>
      </c>
      <c r="H310" s="43" t="str">
        <f aca="false">CHOOSE(F310,"Gen","Feb","Mar","Apr","Mag","Giu","Lug","Ago","Set","Ott","Nov","Dic")&amp;" "&amp;E310</f>
        <v>Mar 2026</v>
      </c>
      <c r="I310" s="43" t="n">
        <f aca="false">SUMPRODUCT(($A$2:$A$494&gt;A310)*1)+1</f>
        <v>185</v>
      </c>
      <c r="J310" s="43" t="str">
        <f aca="false">IF(G310=Supporto!$J$4,SUMPRODUCT(($G$2:$G$494=Supporto!$J$4)*($A$2:$A$494&gt;A310))+1,"")</f>
        <v/>
      </c>
    </row>
    <row r="311" customFormat="false" ht="15" hidden="false" customHeight="false" outlineLevel="0" collapsed="false">
      <c r="A311" s="39" t="n">
        <v>46099.5673611111</v>
      </c>
      <c r="B311" s="40" t="s">
        <v>30</v>
      </c>
      <c r="C311" s="41" t="s">
        <v>27</v>
      </c>
      <c r="D311" s="42" t="n">
        <v>28.45</v>
      </c>
      <c r="E311" s="43" t="n">
        <f aca="false">YEAR(A311)</f>
        <v>2026</v>
      </c>
      <c r="F311" s="43" t="n">
        <f aca="false">MONTH(A311)</f>
        <v>3</v>
      </c>
      <c r="G311" s="43" t="n">
        <f aca="false">E311*100+F311</f>
        <v>202603</v>
      </c>
      <c r="H311" s="43" t="str">
        <f aca="false">CHOOSE(F311,"Gen","Feb","Mar","Apr","Mag","Giu","Lug","Ago","Set","Ott","Nov","Dic")&amp;" "&amp;E311</f>
        <v>Mar 2026</v>
      </c>
      <c r="I311" s="43" t="n">
        <f aca="false">SUMPRODUCT(($A$2:$A$494&gt;A311)*1)+1</f>
        <v>184</v>
      </c>
      <c r="J311" s="43" t="str">
        <f aca="false">IF(G311=Supporto!$J$4,SUMPRODUCT(($G$2:$G$494=Supporto!$J$4)*($A$2:$A$494&gt;A311))+1,"")</f>
        <v/>
      </c>
    </row>
    <row r="312" customFormat="false" ht="15" hidden="false" customHeight="false" outlineLevel="0" collapsed="false">
      <c r="A312" s="39" t="n">
        <v>46100.7090277778</v>
      </c>
      <c r="B312" s="40" t="s">
        <v>38</v>
      </c>
      <c r="C312" s="41" t="s">
        <v>27</v>
      </c>
      <c r="D312" s="42" t="n">
        <v>70.59</v>
      </c>
      <c r="E312" s="43" t="n">
        <f aca="false">YEAR(A312)</f>
        <v>2026</v>
      </c>
      <c r="F312" s="43" t="n">
        <f aca="false">MONTH(A312)</f>
        <v>3</v>
      </c>
      <c r="G312" s="43" t="n">
        <f aca="false">E312*100+F312</f>
        <v>202603</v>
      </c>
      <c r="H312" s="43" t="str">
        <f aca="false">CHOOSE(F312,"Gen","Feb","Mar","Apr","Mag","Giu","Lug","Ago","Set","Ott","Nov","Dic")&amp;" "&amp;E312</f>
        <v>Mar 2026</v>
      </c>
      <c r="I312" s="43" t="n">
        <f aca="false">SUMPRODUCT(($A$2:$A$494&gt;A312)*1)+1</f>
        <v>183</v>
      </c>
      <c r="J312" s="43" t="str">
        <f aca="false">IF(G312=Supporto!$J$4,SUMPRODUCT(($G$2:$G$494=Supporto!$J$4)*($A$2:$A$494&gt;A312))+1,"")</f>
        <v/>
      </c>
    </row>
    <row r="313" customFormat="false" ht="15" hidden="false" customHeight="false" outlineLevel="0" collapsed="false">
      <c r="A313" s="39" t="n">
        <v>46102.29375</v>
      </c>
      <c r="B313" s="40" t="s">
        <v>33</v>
      </c>
      <c r="C313" s="41" t="s">
        <v>27</v>
      </c>
      <c r="D313" s="42" t="n">
        <v>53.12</v>
      </c>
      <c r="E313" s="43" t="n">
        <f aca="false">YEAR(A313)</f>
        <v>2026</v>
      </c>
      <c r="F313" s="43" t="n">
        <f aca="false">MONTH(A313)</f>
        <v>3</v>
      </c>
      <c r="G313" s="43" t="n">
        <f aca="false">E313*100+F313</f>
        <v>202603</v>
      </c>
      <c r="H313" s="43" t="str">
        <f aca="false">CHOOSE(F313,"Gen","Feb","Mar","Apr","Mag","Giu","Lug","Ago","Set","Ott","Nov","Dic")&amp;" "&amp;E313</f>
        <v>Mar 2026</v>
      </c>
      <c r="I313" s="43" t="n">
        <f aca="false">SUMPRODUCT(($A$2:$A$494&gt;A313)*1)+1</f>
        <v>182</v>
      </c>
      <c r="J313" s="43" t="str">
        <f aca="false">IF(G313=Supporto!$J$4,SUMPRODUCT(($G$2:$G$494=Supporto!$J$4)*($A$2:$A$494&gt;A313))+1,"")</f>
        <v/>
      </c>
    </row>
    <row r="314" customFormat="false" ht="15" hidden="false" customHeight="false" outlineLevel="0" collapsed="false">
      <c r="A314" s="39" t="n">
        <v>46102.9152777778</v>
      </c>
      <c r="B314" s="40" t="s">
        <v>28</v>
      </c>
      <c r="C314" s="41" t="s">
        <v>27</v>
      </c>
      <c r="D314" s="42" t="n">
        <v>247.65</v>
      </c>
      <c r="E314" s="43" t="n">
        <f aca="false">YEAR(A314)</f>
        <v>2026</v>
      </c>
      <c r="F314" s="43" t="n">
        <f aca="false">MONTH(A314)</f>
        <v>3</v>
      </c>
      <c r="G314" s="43" t="n">
        <f aca="false">E314*100+F314</f>
        <v>202603</v>
      </c>
      <c r="H314" s="43" t="str">
        <f aca="false">CHOOSE(F314,"Gen","Feb","Mar","Apr","Mag","Giu","Lug","Ago","Set","Ott","Nov","Dic")&amp;" "&amp;E314</f>
        <v>Mar 2026</v>
      </c>
      <c r="I314" s="43" t="n">
        <f aca="false">SUMPRODUCT(($A$2:$A$494&gt;A314)*1)+1</f>
        <v>181</v>
      </c>
      <c r="J314" s="43" t="str">
        <f aca="false">IF(G314=Supporto!$J$4,SUMPRODUCT(($G$2:$G$494=Supporto!$J$4)*($A$2:$A$494&gt;A314))+1,"")</f>
        <v/>
      </c>
    </row>
    <row r="315" customFormat="false" ht="15" hidden="false" customHeight="false" outlineLevel="0" collapsed="false">
      <c r="A315" s="39" t="n">
        <v>46103.5701388889</v>
      </c>
      <c r="B315" s="40" t="s">
        <v>33</v>
      </c>
      <c r="C315" s="41" t="s">
        <v>27</v>
      </c>
      <c r="D315" s="42" t="n">
        <v>16.52</v>
      </c>
      <c r="E315" s="43" t="n">
        <f aca="false">YEAR(A315)</f>
        <v>2026</v>
      </c>
      <c r="F315" s="43" t="n">
        <f aca="false">MONTH(A315)</f>
        <v>3</v>
      </c>
      <c r="G315" s="43" t="n">
        <f aca="false">E315*100+F315</f>
        <v>202603</v>
      </c>
      <c r="H315" s="43" t="str">
        <f aca="false">CHOOSE(F315,"Gen","Feb","Mar","Apr","Mag","Giu","Lug","Ago","Set","Ott","Nov","Dic")&amp;" "&amp;E315</f>
        <v>Mar 2026</v>
      </c>
      <c r="I315" s="43" t="n">
        <f aca="false">SUMPRODUCT(($A$2:$A$494&gt;A315)*1)+1</f>
        <v>180</v>
      </c>
      <c r="J315" s="43" t="str">
        <f aca="false">IF(G315=Supporto!$J$4,SUMPRODUCT(($G$2:$G$494=Supporto!$J$4)*($A$2:$A$494&gt;A315))+1,"")</f>
        <v/>
      </c>
    </row>
    <row r="316" customFormat="false" ht="15" hidden="false" customHeight="false" outlineLevel="0" collapsed="false">
      <c r="A316" s="39" t="n">
        <v>46103.6041666667</v>
      </c>
      <c r="B316" s="40" t="s">
        <v>29</v>
      </c>
      <c r="C316" s="41" t="s">
        <v>27</v>
      </c>
      <c r="D316" s="42" t="n">
        <v>9.28</v>
      </c>
      <c r="E316" s="43" t="n">
        <f aca="false">YEAR(A316)</f>
        <v>2026</v>
      </c>
      <c r="F316" s="43" t="n">
        <f aca="false">MONTH(A316)</f>
        <v>3</v>
      </c>
      <c r="G316" s="43" t="n">
        <f aca="false">E316*100+F316</f>
        <v>202603</v>
      </c>
      <c r="H316" s="43" t="str">
        <f aca="false">CHOOSE(F316,"Gen","Feb","Mar","Apr","Mag","Giu","Lug","Ago","Set","Ott","Nov","Dic")&amp;" "&amp;E316</f>
        <v>Mar 2026</v>
      </c>
      <c r="I316" s="43" t="n">
        <f aca="false">SUMPRODUCT(($A$2:$A$494&gt;A316)*1)+1</f>
        <v>179</v>
      </c>
      <c r="J316" s="43" t="str">
        <f aca="false">IF(G316=Supporto!$J$4,SUMPRODUCT(($G$2:$G$494=Supporto!$J$4)*($A$2:$A$494&gt;A316))+1,"")</f>
        <v/>
      </c>
    </row>
    <row r="317" customFormat="false" ht="15" hidden="false" customHeight="false" outlineLevel="0" collapsed="false">
      <c r="A317" s="39" t="n">
        <v>46104.6951388889</v>
      </c>
      <c r="B317" s="40" t="s">
        <v>28</v>
      </c>
      <c r="C317" s="41" t="s">
        <v>27</v>
      </c>
      <c r="D317" s="42" t="n">
        <v>212.97</v>
      </c>
      <c r="E317" s="43" t="n">
        <f aca="false">YEAR(A317)</f>
        <v>2026</v>
      </c>
      <c r="F317" s="43" t="n">
        <f aca="false">MONTH(A317)</f>
        <v>3</v>
      </c>
      <c r="G317" s="43" t="n">
        <f aca="false">E317*100+F317</f>
        <v>202603</v>
      </c>
      <c r="H317" s="43" t="str">
        <f aca="false">CHOOSE(F317,"Gen","Feb","Mar","Apr","Mag","Giu","Lug","Ago","Set","Ott","Nov","Dic")&amp;" "&amp;E317</f>
        <v>Mar 2026</v>
      </c>
      <c r="I317" s="43" t="n">
        <f aca="false">SUMPRODUCT(($A$2:$A$494&gt;A317)*1)+1</f>
        <v>178</v>
      </c>
      <c r="J317" s="43" t="str">
        <f aca="false">IF(G317=Supporto!$J$4,SUMPRODUCT(($G$2:$G$494=Supporto!$J$4)*($A$2:$A$494&gt;A317))+1,"")</f>
        <v/>
      </c>
    </row>
    <row r="318" customFormat="false" ht="15" hidden="false" customHeight="false" outlineLevel="0" collapsed="false">
      <c r="A318" s="39" t="n">
        <v>46105.4972222222</v>
      </c>
      <c r="B318" s="40" t="s">
        <v>34</v>
      </c>
      <c r="C318" s="41" t="s">
        <v>27</v>
      </c>
      <c r="D318" s="42" t="n">
        <v>20.25</v>
      </c>
      <c r="E318" s="43" t="n">
        <f aca="false">YEAR(A318)</f>
        <v>2026</v>
      </c>
      <c r="F318" s="43" t="n">
        <f aca="false">MONTH(A318)</f>
        <v>3</v>
      </c>
      <c r="G318" s="43" t="n">
        <f aca="false">E318*100+F318</f>
        <v>202603</v>
      </c>
      <c r="H318" s="43" t="str">
        <f aca="false">CHOOSE(F318,"Gen","Feb","Mar","Apr","Mag","Giu","Lug","Ago","Set","Ott","Nov","Dic")&amp;" "&amp;E318</f>
        <v>Mar 2026</v>
      </c>
      <c r="I318" s="43" t="n">
        <f aca="false">SUMPRODUCT(($A$2:$A$494&gt;A318)*1)+1</f>
        <v>177</v>
      </c>
      <c r="J318" s="43" t="str">
        <f aca="false">IF(G318=Supporto!$J$4,SUMPRODUCT(($G$2:$G$494=Supporto!$J$4)*($A$2:$A$494&gt;A318))+1,"")</f>
        <v/>
      </c>
    </row>
    <row r="319" customFormat="false" ht="15" hidden="false" customHeight="false" outlineLevel="0" collapsed="false">
      <c r="A319" s="39" t="n">
        <v>46106.4930555556</v>
      </c>
      <c r="B319" s="40" t="s">
        <v>30</v>
      </c>
      <c r="C319" s="41" t="s">
        <v>27</v>
      </c>
      <c r="D319" s="42" t="n">
        <v>23.6</v>
      </c>
      <c r="E319" s="43" t="n">
        <f aca="false">YEAR(A319)</f>
        <v>2026</v>
      </c>
      <c r="F319" s="43" t="n">
        <f aca="false">MONTH(A319)</f>
        <v>3</v>
      </c>
      <c r="G319" s="43" t="n">
        <f aca="false">E319*100+F319</f>
        <v>202603</v>
      </c>
      <c r="H319" s="43" t="str">
        <f aca="false">CHOOSE(F319,"Gen","Feb","Mar","Apr","Mag","Giu","Lug","Ago","Set","Ott","Nov","Dic")&amp;" "&amp;E319</f>
        <v>Mar 2026</v>
      </c>
      <c r="I319" s="43" t="n">
        <f aca="false">SUMPRODUCT(($A$2:$A$494&gt;A319)*1)+1</f>
        <v>176</v>
      </c>
      <c r="J319" s="43" t="str">
        <f aca="false">IF(G319=Supporto!$J$4,SUMPRODUCT(($G$2:$G$494=Supporto!$J$4)*($A$2:$A$494&gt;A319))+1,"")</f>
        <v/>
      </c>
    </row>
    <row r="320" customFormat="false" ht="15" hidden="false" customHeight="false" outlineLevel="0" collapsed="false">
      <c r="A320" s="39" t="n">
        <v>46107.71875</v>
      </c>
      <c r="B320" s="40" t="s">
        <v>33</v>
      </c>
      <c r="C320" s="41" t="s">
        <v>27</v>
      </c>
      <c r="D320" s="42" t="n">
        <v>3</v>
      </c>
      <c r="E320" s="43" t="n">
        <f aca="false">YEAR(A320)</f>
        <v>2026</v>
      </c>
      <c r="F320" s="43" t="n">
        <f aca="false">MONTH(A320)</f>
        <v>3</v>
      </c>
      <c r="G320" s="43" t="n">
        <f aca="false">E320*100+F320</f>
        <v>202603</v>
      </c>
      <c r="H320" s="43" t="str">
        <f aca="false">CHOOSE(F320,"Gen","Feb","Mar","Apr","Mag","Giu","Lug","Ago","Set","Ott","Nov","Dic")&amp;" "&amp;E320</f>
        <v>Mar 2026</v>
      </c>
      <c r="I320" s="43" t="n">
        <f aca="false">SUMPRODUCT(($A$2:$A$494&gt;A320)*1)+1</f>
        <v>175</v>
      </c>
      <c r="J320" s="43" t="str">
        <f aca="false">IF(G320=Supporto!$J$4,SUMPRODUCT(($G$2:$G$494=Supporto!$J$4)*($A$2:$A$494&gt;A320))+1,"")</f>
        <v/>
      </c>
    </row>
    <row r="321" customFormat="false" ht="15" hidden="false" customHeight="false" outlineLevel="0" collapsed="false">
      <c r="A321" s="39" t="n">
        <v>46108.375</v>
      </c>
      <c r="B321" s="40" t="s">
        <v>40</v>
      </c>
      <c r="C321" s="41" t="s">
        <v>32</v>
      </c>
      <c r="D321" s="42" t="n">
        <v>2282.91</v>
      </c>
      <c r="E321" s="43" t="n">
        <f aca="false">YEAR(A321)</f>
        <v>2026</v>
      </c>
      <c r="F321" s="43" t="n">
        <f aca="false">MONTH(A321)</f>
        <v>3</v>
      </c>
      <c r="G321" s="43" t="n">
        <f aca="false">E321*100+F321</f>
        <v>202603</v>
      </c>
      <c r="H321" s="43" t="str">
        <f aca="false">CHOOSE(F321,"Gen","Feb","Mar","Apr","Mag","Giu","Lug","Ago","Set","Ott","Nov","Dic")&amp;" "&amp;E321</f>
        <v>Mar 2026</v>
      </c>
      <c r="I321" s="43" t="n">
        <f aca="false">SUMPRODUCT(($A$2:$A$494&gt;A321)*1)+1</f>
        <v>174</v>
      </c>
      <c r="J321" s="43" t="str">
        <f aca="false">IF(G321=Supporto!$J$4,SUMPRODUCT(($G$2:$G$494=Supporto!$J$4)*($A$2:$A$494&gt;A321))+1,"")</f>
        <v/>
      </c>
    </row>
    <row r="322" customFormat="false" ht="15" hidden="false" customHeight="false" outlineLevel="0" collapsed="false">
      <c r="A322" s="39" t="n">
        <v>46108.3784722222</v>
      </c>
      <c r="B322" s="40" t="s">
        <v>41</v>
      </c>
      <c r="C322" s="41" t="s">
        <v>32</v>
      </c>
      <c r="D322" s="42" t="n">
        <v>2032.81</v>
      </c>
      <c r="E322" s="43" t="n">
        <f aca="false">YEAR(A322)</f>
        <v>2026</v>
      </c>
      <c r="F322" s="43" t="n">
        <f aca="false">MONTH(A322)</f>
        <v>3</v>
      </c>
      <c r="G322" s="43" t="n">
        <f aca="false">E322*100+F322</f>
        <v>202603</v>
      </c>
      <c r="H322" s="43" t="str">
        <f aca="false">CHOOSE(F322,"Gen","Feb","Mar","Apr","Mag","Giu","Lug","Ago","Set","Ott","Nov","Dic")&amp;" "&amp;E322</f>
        <v>Mar 2026</v>
      </c>
      <c r="I322" s="43" t="n">
        <f aca="false">SUMPRODUCT(($A$2:$A$494&gt;A322)*1)+1</f>
        <v>173</v>
      </c>
      <c r="J322" s="43" t="str">
        <f aca="false">IF(G322=Supporto!$J$4,SUMPRODUCT(($G$2:$G$494=Supporto!$J$4)*($A$2:$A$494&gt;A322))+1,"")</f>
        <v/>
      </c>
    </row>
    <row r="323" customFormat="false" ht="15" hidden="false" customHeight="false" outlineLevel="0" collapsed="false">
      <c r="A323" s="39" t="n">
        <v>46109.8784722222</v>
      </c>
      <c r="B323" s="40" t="s">
        <v>33</v>
      </c>
      <c r="C323" s="41" t="s">
        <v>27</v>
      </c>
      <c r="D323" s="42" t="n">
        <v>4.65</v>
      </c>
      <c r="E323" s="43" t="n">
        <f aca="false">YEAR(A323)</f>
        <v>2026</v>
      </c>
      <c r="F323" s="43" t="n">
        <f aca="false">MONTH(A323)</f>
        <v>3</v>
      </c>
      <c r="G323" s="43" t="n">
        <f aca="false">E323*100+F323</f>
        <v>202603</v>
      </c>
      <c r="H323" s="43" t="str">
        <f aca="false">CHOOSE(F323,"Gen","Feb","Mar","Apr","Mag","Giu","Lug","Ago","Set","Ott","Nov","Dic")&amp;" "&amp;E323</f>
        <v>Mar 2026</v>
      </c>
      <c r="I323" s="43" t="n">
        <f aca="false">SUMPRODUCT(($A$2:$A$494&gt;A323)*1)+1</f>
        <v>172</v>
      </c>
      <c r="J323" s="43" t="str">
        <f aca="false">IF(G323=Supporto!$J$4,SUMPRODUCT(($G$2:$G$494=Supporto!$J$4)*($A$2:$A$494&gt;A323))+1,"")</f>
        <v/>
      </c>
    </row>
    <row r="324" customFormat="false" ht="15" hidden="false" customHeight="false" outlineLevel="0" collapsed="false">
      <c r="A324" s="39" t="n">
        <v>46115.39375</v>
      </c>
      <c r="B324" s="40" t="s">
        <v>34</v>
      </c>
      <c r="C324" s="41" t="s">
        <v>27</v>
      </c>
      <c r="D324" s="42" t="n">
        <v>10.3</v>
      </c>
      <c r="E324" s="43" t="n">
        <f aca="false">YEAR(A324)</f>
        <v>2026</v>
      </c>
      <c r="F324" s="43" t="n">
        <f aca="false">MONTH(A324)</f>
        <v>4</v>
      </c>
      <c r="G324" s="43" t="n">
        <f aca="false">E324*100+F324</f>
        <v>202604</v>
      </c>
      <c r="H324" s="43" t="str">
        <f aca="false">CHOOSE(F324,"Gen","Feb","Mar","Apr","Mag","Giu","Lug","Ago","Set","Ott","Nov","Dic")&amp;" "&amp;E324</f>
        <v>Apr 2026</v>
      </c>
      <c r="I324" s="43" t="n">
        <f aca="false">SUMPRODUCT(($A$2:$A$494&gt;A324)*1)+1</f>
        <v>171</v>
      </c>
      <c r="J324" s="43" t="str">
        <f aca="false">IF(G324=Supporto!$J$4,SUMPRODUCT(($G$2:$G$494=Supporto!$J$4)*($A$2:$A$494&gt;A324))+1,"")</f>
        <v/>
      </c>
    </row>
    <row r="325" customFormat="false" ht="15" hidden="false" customHeight="false" outlineLevel="0" collapsed="false">
      <c r="A325" s="39" t="n">
        <v>46115.5583333333</v>
      </c>
      <c r="B325" s="40" t="s">
        <v>39</v>
      </c>
      <c r="C325" s="41" t="s">
        <v>27</v>
      </c>
      <c r="D325" s="42" t="n">
        <v>29.93</v>
      </c>
      <c r="E325" s="43" t="n">
        <f aca="false">YEAR(A325)</f>
        <v>2026</v>
      </c>
      <c r="F325" s="43" t="n">
        <f aca="false">MONTH(A325)</f>
        <v>4</v>
      </c>
      <c r="G325" s="43" t="n">
        <f aca="false">E325*100+F325</f>
        <v>202604</v>
      </c>
      <c r="H325" s="43" t="str">
        <f aca="false">CHOOSE(F325,"Gen","Feb","Mar","Apr","Mag","Giu","Lug","Ago","Set","Ott","Nov","Dic")&amp;" "&amp;E325</f>
        <v>Apr 2026</v>
      </c>
      <c r="I325" s="43" t="n">
        <f aca="false">SUMPRODUCT(($A$2:$A$494&gt;A325)*1)+1</f>
        <v>170</v>
      </c>
      <c r="J325" s="43" t="str">
        <f aca="false">IF(G325=Supporto!$J$4,SUMPRODUCT(($G$2:$G$494=Supporto!$J$4)*($A$2:$A$494&gt;A325))+1,"")</f>
        <v/>
      </c>
    </row>
    <row r="326" customFormat="false" ht="15" hidden="false" customHeight="false" outlineLevel="0" collapsed="false">
      <c r="A326" s="39" t="n">
        <v>46115.7347222222</v>
      </c>
      <c r="B326" s="40" t="s">
        <v>29</v>
      </c>
      <c r="C326" s="41" t="s">
        <v>27</v>
      </c>
      <c r="D326" s="42" t="n">
        <v>188.99</v>
      </c>
      <c r="E326" s="43" t="n">
        <f aca="false">YEAR(A326)</f>
        <v>2026</v>
      </c>
      <c r="F326" s="43" t="n">
        <f aca="false">MONTH(A326)</f>
        <v>4</v>
      </c>
      <c r="G326" s="43" t="n">
        <f aca="false">E326*100+F326</f>
        <v>202604</v>
      </c>
      <c r="H326" s="43" t="str">
        <f aca="false">CHOOSE(F326,"Gen","Feb","Mar","Apr","Mag","Giu","Lug","Ago","Set","Ott","Nov","Dic")&amp;" "&amp;E326</f>
        <v>Apr 2026</v>
      </c>
      <c r="I326" s="43" t="n">
        <f aca="false">SUMPRODUCT(($A$2:$A$494&gt;A326)*1)+1</f>
        <v>169</v>
      </c>
      <c r="J326" s="43" t="str">
        <f aca="false">IF(G326=Supporto!$J$4,SUMPRODUCT(($G$2:$G$494=Supporto!$J$4)*($A$2:$A$494&gt;A326))+1,"")</f>
        <v/>
      </c>
    </row>
    <row r="327" customFormat="false" ht="15" hidden="false" customHeight="false" outlineLevel="0" collapsed="false">
      <c r="A327" s="39" t="n">
        <v>46116.5479166667</v>
      </c>
      <c r="B327" s="40" t="s">
        <v>26</v>
      </c>
      <c r="C327" s="41" t="s">
        <v>27</v>
      </c>
      <c r="D327" s="42" t="n">
        <v>36.08</v>
      </c>
      <c r="E327" s="43" t="n">
        <f aca="false">YEAR(A327)</f>
        <v>2026</v>
      </c>
      <c r="F327" s="43" t="n">
        <f aca="false">MONTH(A327)</f>
        <v>4</v>
      </c>
      <c r="G327" s="43" t="n">
        <f aca="false">E327*100+F327</f>
        <v>202604</v>
      </c>
      <c r="H327" s="43" t="str">
        <f aca="false">CHOOSE(F327,"Gen","Feb","Mar","Apr","Mag","Giu","Lug","Ago","Set","Ott","Nov","Dic")&amp;" "&amp;E327</f>
        <v>Apr 2026</v>
      </c>
      <c r="I327" s="43" t="n">
        <f aca="false">SUMPRODUCT(($A$2:$A$494&gt;A327)*1)+1</f>
        <v>168</v>
      </c>
      <c r="J327" s="43" t="str">
        <f aca="false">IF(G327=Supporto!$J$4,SUMPRODUCT(($G$2:$G$494=Supporto!$J$4)*($A$2:$A$494&gt;A327))+1,"")</f>
        <v/>
      </c>
    </row>
    <row r="328" customFormat="false" ht="15" hidden="false" customHeight="false" outlineLevel="0" collapsed="false">
      <c r="A328" s="39" t="n">
        <v>46116.7854166667</v>
      </c>
      <c r="B328" s="40" t="s">
        <v>34</v>
      </c>
      <c r="C328" s="41" t="s">
        <v>27</v>
      </c>
      <c r="D328" s="42" t="n">
        <v>43.26</v>
      </c>
      <c r="E328" s="43" t="n">
        <f aca="false">YEAR(A328)</f>
        <v>2026</v>
      </c>
      <c r="F328" s="43" t="n">
        <f aca="false">MONTH(A328)</f>
        <v>4</v>
      </c>
      <c r="G328" s="43" t="n">
        <f aca="false">E328*100+F328</f>
        <v>202604</v>
      </c>
      <c r="H328" s="43" t="str">
        <f aca="false">CHOOSE(F328,"Gen","Feb","Mar","Apr","Mag","Giu","Lug","Ago","Set","Ott","Nov","Dic")&amp;" "&amp;E328</f>
        <v>Apr 2026</v>
      </c>
      <c r="I328" s="43" t="n">
        <f aca="false">SUMPRODUCT(($A$2:$A$494&gt;A328)*1)+1</f>
        <v>167</v>
      </c>
      <c r="J328" s="43" t="str">
        <f aca="false">IF(G328=Supporto!$J$4,SUMPRODUCT(($G$2:$G$494=Supporto!$J$4)*($A$2:$A$494&gt;A328))+1,"")</f>
        <v/>
      </c>
    </row>
    <row r="329" customFormat="false" ht="15" hidden="false" customHeight="false" outlineLevel="0" collapsed="false">
      <c r="A329" s="39" t="n">
        <v>46117.3590277778</v>
      </c>
      <c r="B329" s="40" t="s">
        <v>34</v>
      </c>
      <c r="C329" s="41" t="s">
        <v>27</v>
      </c>
      <c r="D329" s="42" t="n">
        <v>24.01</v>
      </c>
      <c r="E329" s="43" t="n">
        <f aca="false">YEAR(A329)</f>
        <v>2026</v>
      </c>
      <c r="F329" s="43" t="n">
        <f aca="false">MONTH(A329)</f>
        <v>4</v>
      </c>
      <c r="G329" s="43" t="n">
        <f aca="false">E329*100+F329</f>
        <v>202604</v>
      </c>
      <c r="H329" s="43" t="str">
        <f aca="false">CHOOSE(F329,"Gen","Feb","Mar","Apr","Mag","Giu","Lug","Ago","Set","Ott","Nov","Dic")&amp;" "&amp;E329</f>
        <v>Apr 2026</v>
      </c>
      <c r="I329" s="43" t="n">
        <f aca="false">SUMPRODUCT(($A$2:$A$494&gt;A329)*1)+1</f>
        <v>166</v>
      </c>
      <c r="J329" s="43" t="str">
        <f aca="false">IF(G329=Supporto!$J$4,SUMPRODUCT(($G$2:$G$494=Supporto!$J$4)*($A$2:$A$494&gt;A329))+1,"")</f>
        <v/>
      </c>
    </row>
    <row r="330" customFormat="false" ht="15" hidden="false" customHeight="false" outlineLevel="0" collapsed="false">
      <c r="A330" s="39" t="n">
        <v>46117.3805555556</v>
      </c>
      <c r="B330" s="40" t="s">
        <v>29</v>
      </c>
      <c r="C330" s="41" t="s">
        <v>27</v>
      </c>
      <c r="D330" s="42" t="n">
        <v>31.29</v>
      </c>
      <c r="E330" s="43" t="n">
        <f aca="false">YEAR(A330)</f>
        <v>2026</v>
      </c>
      <c r="F330" s="43" t="n">
        <f aca="false">MONTH(A330)</f>
        <v>4</v>
      </c>
      <c r="G330" s="43" t="n">
        <f aca="false">E330*100+F330</f>
        <v>202604</v>
      </c>
      <c r="H330" s="43" t="str">
        <f aca="false">CHOOSE(F330,"Gen","Feb","Mar","Apr","Mag","Giu","Lug","Ago","Set","Ott","Nov","Dic")&amp;" "&amp;E330</f>
        <v>Apr 2026</v>
      </c>
      <c r="I330" s="43" t="n">
        <f aca="false">SUMPRODUCT(($A$2:$A$494&gt;A330)*1)+1</f>
        <v>165</v>
      </c>
      <c r="J330" s="43" t="str">
        <f aca="false">IF(G330=Supporto!$J$4,SUMPRODUCT(($G$2:$G$494=Supporto!$J$4)*($A$2:$A$494&gt;A330))+1,"")</f>
        <v/>
      </c>
    </row>
    <row r="331" customFormat="false" ht="15" hidden="false" customHeight="false" outlineLevel="0" collapsed="false">
      <c r="A331" s="39" t="n">
        <v>46118.6555555556</v>
      </c>
      <c r="B331" s="40" t="s">
        <v>33</v>
      </c>
      <c r="C331" s="41" t="s">
        <v>27</v>
      </c>
      <c r="D331" s="42" t="n">
        <v>3</v>
      </c>
      <c r="E331" s="43" t="n">
        <f aca="false">YEAR(A331)</f>
        <v>2026</v>
      </c>
      <c r="F331" s="43" t="n">
        <f aca="false">MONTH(A331)</f>
        <v>4</v>
      </c>
      <c r="G331" s="43" t="n">
        <f aca="false">E331*100+F331</f>
        <v>202604</v>
      </c>
      <c r="H331" s="43" t="str">
        <f aca="false">CHOOSE(F331,"Gen","Feb","Mar","Apr","Mag","Giu","Lug","Ago","Set","Ott","Nov","Dic")&amp;" "&amp;E331</f>
        <v>Apr 2026</v>
      </c>
      <c r="I331" s="43" t="n">
        <f aca="false">SUMPRODUCT(($A$2:$A$494&gt;A331)*1)+1</f>
        <v>164</v>
      </c>
      <c r="J331" s="43" t="str">
        <f aca="false">IF(G331=Supporto!$J$4,SUMPRODUCT(($G$2:$G$494=Supporto!$J$4)*($A$2:$A$494&gt;A331))+1,"")</f>
        <v/>
      </c>
    </row>
    <row r="332" customFormat="false" ht="15" hidden="false" customHeight="false" outlineLevel="0" collapsed="false">
      <c r="A332" s="39" t="n">
        <v>46120.8479166667</v>
      </c>
      <c r="B332" s="40" t="s">
        <v>28</v>
      </c>
      <c r="C332" s="41" t="s">
        <v>27</v>
      </c>
      <c r="D332" s="42" t="n">
        <v>189.42</v>
      </c>
      <c r="E332" s="43" t="n">
        <f aca="false">YEAR(A332)</f>
        <v>2026</v>
      </c>
      <c r="F332" s="43" t="n">
        <f aca="false">MONTH(A332)</f>
        <v>4</v>
      </c>
      <c r="G332" s="43" t="n">
        <f aca="false">E332*100+F332</f>
        <v>202604</v>
      </c>
      <c r="H332" s="43" t="str">
        <f aca="false">CHOOSE(F332,"Gen","Feb","Mar","Apr","Mag","Giu","Lug","Ago","Set","Ott","Nov","Dic")&amp;" "&amp;E332</f>
        <v>Apr 2026</v>
      </c>
      <c r="I332" s="43" t="n">
        <f aca="false">SUMPRODUCT(($A$2:$A$494&gt;A332)*1)+1</f>
        <v>163</v>
      </c>
      <c r="J332" s="43" t="str">
        <f aca="false">IF(G332=Supporto!$J$4,SUMPRODUCT(($G$2:$G$494=Supporto!$J$4)*($A$2:$A$494&gt;A332))+1,"")</f>
        <v/>
      </c>
    </row>
    <row r="333" customFormat="false" ht="15" hidden="false" customHeight="false" outlineLevel="0" collapsed="false">
      <c r="A333" s="39" t="n">
        <v>46121.575</v>
      </c>
      <c r="B333" s="40" t="s">
        <v>36</v>
      </c>
      <c r="C333" s="41" t="s">
        <v>27</v>
      </c>
      <c r="D333" s="42" t="n">
        <v>16.51</v>
      </c>
      <c r="E333" s="43" t="n">
        <f aca="false">YEAR(A333)</f>
        <v>2026</v>
      </c>
      <c r="F333" s="43" t="n">
        <f aca="false">MONTH(A333)</f>
        <v>4</v>
      </c>
      <c r="G333" s="43" t="n">
        <f aca="false">E333*100+F333</f>
        <v>202604</v>
      </c>
      <c r="H333" s="43" t="str">
        <f aca="false">CHOOSE(F333,"Gen","Feb","Mar","Apr","Mag","Giu","Lug","Ago","Set","Ott","Nov","Dic")&amp;" "&amp;E333</f>
        <v>Apr 2026</v>
      </c>
      <c r="I333" s="43" t="n">
        <f aca="false">SUMPRODUCT(($A$2:$A$494&gt;A333)*1)+1</f>
        <v>162</v>
      </c>
      <c r="J333" s="43" t="str">
        <f aca="false">IF(G333=Supporto!$J$4,SUMPRODUCT(($G$2:$G$494=Supporto!$J$4)*($A$2:$A$494&gt;A333))+1,"")</f>
        <v/>
      </c>
    </row>
    <row r="334" customFormat="false" ht="15" hidden="false" customHeight="false" outlineLevel="0" collapsed="false">
      <c r="A334" s="39" t="n">
        <v>46121.725</v>
      </c>
      <c r="B334" s="40" t="s">
        <v>29</v>
      </c>
      <c r="C334" s="41" t="s">
        <v>27</v>
      </c>
      <c r="D334" s="42" t="n">
        <v>11.61</v>
      </c>
      <c r="E334" s="43" t="n">
        <f aca="false">YEAR(A334)</f>
        <v>2026</v>
      </c>
      <c r="F334" s="43" t="n">
        <f aca="false">MONTH(A334)</f>
        <v>4</v>
      </c>
      <c r="G334" s="43" t="n">
        <f aca="false">E334*100+F334</f>
        <v>202604</v>
      </c>
      <c r="H334" s="43" t="str">
        <f aca="false">CHOOSE(F334,"Gen","Feb","Mar","Apr","Mag","Giu","Lug","Ago","Set","Ott","Nov","Dic")&amp;" "&amp;E334</f>
        <v>Apr 2026</v>
      </c>
      <c r="I334" s="43" t="n">
        <f aca="false">SUMPRODUCT(($A$2:$A$494&gt;A334)*1)+1</f>
        <v>161</v>
      </c>
      <c r="J334" s="43" t="str">
        <f aca="false">IF(G334=Supporto!$J$4,SUMPRODUCT(($G$2:$G$494=Supporto!$J$4)*($A$2:$A$494&gt;A334))+1,"")</f>
        <v/>
      </c>
    </row>
    <row r="335" customFormat="false" ht="15" hidden="false" customHeight="false" outlineLevel="0" collapsed="false">
      <c r="A335" s="39" t="n">
        <v>46122.6819444444</v>
      </c>
      <c r="B335" s="40" t="s">
        <v>26</v>
      </c>
      <c r="C335" s="41" t="s">
        <v>27</v>
      </c>
      <c r="D335" s="42" t="n">
        <v>5</v>
      </c>
      <c r="E335" s="43" t="n">
        <f aca="false">YEAR(A335)</f>
        <v>2026</v>
      </c>
      <c r="F335" s="43" t="n">
        <f aca="false">MONTH(A335)</f>
        <v>4</v>
      </c>
      <c r="G335" s="43" t="n">
        <f aca="false">E335*100+F335</f>
        <v>202604</v>
      </c>
      <c r="H335" s="43" t="str">
        <f aca="false">CHOOSE(F335,"Gen","Feb","Mar","Apr","Mag","Giu","Lug","Ago","Set","Ott","Nov","Dic")&amp;" "&amp;E335</f>
        <v>Apr 2026</v>
      </c>
      <c r="I335" s="43" t="n">
        <f aca="false">SUMPRODUCT(($A$2:$A$494&gt;A335)*1)+1</f>
        <v>160</v>
      </c>
      <c r="J335" s="43" t="str">
        <f aca="false">IF(G335=Supporto!$J$4,SUMPRODUCT(($G$2:$G$494=Supporto!$J$4)*($A$2:$A$494&gt;A335))+1,"")</f>
        <v/>
      </c>
    </row>
    <row r="336" customFormat="false" ht="15" hidden="false" customHeight="false" outlineLevel="0" collapsed="false">
      <c r="A336" s="39" t="n">
        <v>46122.7423611111</v>
      </c>
      <c r="B336" s="40" t="s">
        <v>35</v>
      </c>
      <c r="C336" s="41" t="s">
        <v>27</v>
      </c>
      <c r="D336" s="42" t="n">
        <v>12.4</v>
      </c>
      <c r="E336" s="43" t="n">
        <f aca="false">YEAR(A336)</f>
        <v>2026</v>
      </c>
      <c r="F336" s="43" t="n">
        <f aca="false">MONTH(A336)</f>
        <v>4</v>
      </c>
      <c r="G336" s="43" t="n">
        <f aca="false">E336*100+F336</f>
        <v>202604</v>
      </c>
      <c r="H336" s="43" t="str">
        <f aca="false">CHOOSE(F336,"Gen","Feb","Mar","Apr","Mag","Giu","Lug","Ago","Set","Ott","Nov","Dic")&amp;" "&amp;E336</f>
        <v>Apr 2026</v>
      </c>
      <c r="I336" s="43" t="n">
        <f aca="false">SUMPRODUCT(($A$2:$A$494&gt;A336)*1)+1</f>
        <v>159</v>
      </c>
      <c r="J336" s="43" t="str">
        <f aca="false">IF(G336=Supporto!$J$4,SUMPRODUCT(($G$2:$G$494=Supporto!$J$4)*($A$2:$A$494&gt;A336))+1,"")</f>
        <v/>
      </c>
    </row>
    <row r="337" customFormat="false" ht="15" hidden="false" customHeight="false" outlineLevel="0" collapsed="false">
      <c r="A337" s="39" t="n">
        <v>46123.75</v>
      </c>
      <c r="B337" s="40" t="s">
        <v>33</v>
      </c>
      <c r="C337" s="41" t="s">
        <v>27</v>
      </c>
      <c r="D337" s="42" t="n">
        <v>3</v>
      </c>
      <c r="E337" s="43" t="n">
        <f aca="false">YEAR(A337)</f>
        <v>2026</v>
      </c>
      <c r="F337" s="43" t="n">
        <f aca="false">MONTH(A337)</f>
        <v>4</v>
      </c>
      <c r="G337" s="43" t="n">
        <f aca="false">E337*100+F337</f>
        <v>202604</v>
      </c>
      <c r="H337" s="43" t="str">
        <f aca="false">CHOOSE(F337,"Gen","Feb","Mar","Apr","Mag","Giu","Lug","Ago","Set","Ott","Nov","Dic")&amp;" "&amp;E337</f>
        <v>Apr 2026</v>
      </c>
      <c r="I337" s="43" t="n">
        <f aca="false">SUMPRODUCT(($A$2:$A$494&gt;A337)*1)+1</f>
        <v>158</v>
      </c>
      <c r="J337" s="43" t="str">
        <f aca="false">IF(G337=Supporto!$J$4,SUMPRODUCT(($G$2:$G$494=Supporto!$J$4)*($A$2:$A$494&gt;A337))+1,"")</f>
        <v/>
      </c>
    </row>
    <row r="338" customFormat="false" ht="15" hidden="false" customHeight="false" outlineLevel="0" collapsed="false">
      <c r="A338" s="39" t="n">
        <v>46124.7708333333</v>
      </c>
      <c r="B338" s="40" t="s">
        <v>31</v>
      </c>
      <c r="C338" s="41" t="s">
        <v>32</v>
      </c>
      <c r="D338" s="42" t="n">
        <v>96.72</v>
      </c>
      <c r="E338" s="43" t="n">
        <f aca="false">YEAR(A338)</f>
        <v>2026</v>
      </c>
      <c r="F338" s="43" t="n">
        <f aca="false">MONTH(A338)</f>
        <v>4</v>
      </c>
      <c r="G338" s="43" t="n">
        <f aca="false">E338*100+F338</f>
        <v>202604</v>
      </c>
      <c r="H338" s="43" t="str">
        <f aca="false">CHOOSE(F338,"Gen","Feb","Mar","Apr","Mag","Giu","Lug","Ago","Set","Ott","Nov","Dic")&amp;" "&amp;E338</f>
        <v>Apr 2026</v>
      </c>
      <c r="I338" s="43" t="n">
        <f aca="false">SUMPRODUCT(($A$2:$A$494&gt;A338)*1)+1</f>
        <v>157</v>
      </c>
      <c r="J338" s="43" t="str">
        <f aca="false">IF(G338=Supporto!$J$4,SUMPRODUCT(($G$2:$G$494=Supporto!$J$4)*($A$2:$A$494&gt;A338))+1,"")</f>
        <v/>
      </c>
    </row>
    <row r="339" customFormat="false" ht="15" hidden="false" customHeight="false" outlineLevel="0" collapsed="false">
      <c r="A339" s="39" t="n">
        <v>46126.4291666667</v>
      </c>
      <c r="B339" s="40" t="s">
        <v>36</v>
      </c>
      <c r="C339" s="41" t="s">
        <v>27</v>
      </c>
      <c r="D339" s="42" t="n">
        <v>6.58</v>
      </c>
      <c r="E339" s="43" t="n">
        <f aca="false">YEAR(A339)</f>
        <v>2026</v>
      </c>
      <c r="F339" s="43" t="n">
        <f aca="false">MONTH(A339)</f>
        <v>4</v>
      </c>
      <c r="G339" s="43" t="n">
        <f aca="false">E339*100+F339</f>
        <v>202604</v>
      </c>
      <c r="H339" s="43" t="str">
        <f aca="false">CHOOSE(F339,"Gen","Feb","Mar","Apr","Mag","Giu","Lug","Ago","Set","Ott","Nov","Dic")&amp;" "&amp;E339</f>
        <v>Apr 2026</v>
      </c>
      <c r="I339" s="43" t="n">
        <f aca="false">SUMPRODUCT(($A$2:$A$494&gt;A339)*1)+1</f>
        <v>156</v>
      </c>
      <c r="J339" s="43" t="str">
        <f aca="false">IF(G339=Supporto!$J$4,SUMPRODUCT(($G$2:$G$494=Supporto!$J$4)*($A$2:$A$494&gt;A339))+1,"")</f>
        <v/>
      </c>
    </row>
    <row r="340" customFormat="false" ht="15" hidden="false" customHeight="false" outlineLevel="0" collapsed="false">
      <c r="A340" s="39" t="n">
        <v>46126.4305555556</v>
      </c>
      <c r="B340" s="40" t="s">
        <v>28</v>
      </c>
      <c r="C340" s="41" t="s">
        <v>27</v>
      </c>
      <c r="D340" s="42" t="n">
        <v>237.22</v>
      </c>
      <c r="E340" s="43" t="n">
        <f aca="false">YEAR(A340)</f>
        <v>2026</v>
      </c>
      <c r="F340" s="43" t="n">
        <f aca="false">MONTH(A340)</f>
        <v>4</v>
      </c>
      <c r="G340" s="43" t="n">
        <f aca="false">E340*100+F340</f>
        <v>202604</v>
      </c>
      <c r="H340" s="43" t="str">
        <f aca="false">CHOOSE(F340,"Gen","Feb","Mar","Apr","Mag","Giu","Lug","Ago","Set","Ott","Nov","Dic")&amp;" "&amp;E340</f>
        <v>Apr 2026</v>
      </c>
      <c r="I340" s="43" t="n">
        <f aca="false">SUMPRODUCT(($A$2:$A$494&gt;A340)*1)+1</f>
        <v>155</v>
      </c>
      <c r="J340" s="43" t="str">
        <f aca="false">IF(G340=Supporto!$J$4,SUMPRODUCT(($G$2:$G$494=Supporto!$J$4)*($A$2:$A$494&gt;A340))+1,"")</f>
        <v/>
      </c>
    </row>
    <row r="341" customFormat="false" ht="15" hidden="false" customHeight="false" outlineLevel="0" collapsed="false">
      <c r="A341" s="39" t="n">
        <v>46126.7375</v>
      </c>
      <c r="B341" s="40" t="s">
        <v>28</v>
      </c>
      <c r="C341" s="41" t="s">
        <v>27</v>
      </c>
      <c r="D341" s="42" t="n">
        <v>245.92</v>
      </c>
      <c r="E341" s="43" t="n">
        <f aca="false">YEAR(A341)</f>
        <v>2026</v>
      </c>
      <c r="F341" s="43" t="n">
        <f aca="false">MONTH(A341)</f>
        <v>4</v>
      </c>
      <c r="G341" s="43" t="n">
        <f aca="false">E341*100+F341</f>
        <v>202604</v>
      </c>
      <c r="H341" s="43" t="str">
        <f aca="false">CHOOSE(F341,"Gen","Feb","Mar","Apr","Mag","Giu","Lug","Ago","Set","Ott","Nov","Dic")&amp;" "&amp;E341</f>
        <v>Apr 2026</v>
      </c>
      <c r="I341" s="43" t="n">
        <f aca="false">SUMPRODUCT(($A$2:$A$494&gt;A341)*1)+1</f>
        <v>154</v>
      </c>
      <c r="J341" s="43" t="str">
        <f aca="false">IF(G341=Supporto!$J$4,SUMPRODUCT(($G$2:$G$494=Supporto!$J$4)*($A$2:$A$494&gt;A341))+1,"")</f>
        <v/>
      </c>
    </row>
    <row r="342" customFormat="false" ht="15" hidden="false" customHeight="false" outlineLevel="0" collapsed="false">
      <c r="A342" s="39" t="n">
        <v>46128.8777777778</v>
      </c>
      <c r="B342" s="40" t="s">
        <v>29</v>
      </c>
      <c r="C342" s="41" t="s">
        <v>27</v>
      </c>
      <c r="D342" s="42" t="n">
        <v>33.73</v>
      </c>
      <c r="E342" s="43" t="n">
        <f aca="false">YEAR(A342)</f>
        <v>2026</v>
      </c>
      <c r="F342" s="43" t="n">
        <f aca="false">MONTH(A342)</f>
        <v>4</v>
      </c>
      <c r="G342" s="43" t="n">
        <f aca="false">E342*100+F342</f>
        <v>202604</v>
      </c>
      <c r="H342" s="43" t="str">
        <f aca="false">CHOOSE(F342,"Gen","Feb","Mar","Apr","Mag","Giu","Lug","Ago","Set","Ott","Nov","Dic")&amp;" "&amp;E342</f>
        <v>Apr 2026</v>
      </c>
      <c r="I342" s="43" t="n">
        <f aca="false">SUMPRODUCT(($A$2:$A$494&gt;A342)*1)+1</f>
        <v>153</v>
      </c>
      <c r="J342" s="43" t="str">
        <f aca="false">IF(G342=Supporto!$J$4,SUMPRODUCT(($G$2:$G$494=Supporto!$J$4)*($A$2:$A$494&gt;A342))+1,"")</f>
        <v/>
      </c>
    </row>
    <row r="343" customFormat="false" ht="15" hidden="false" customHeight="false" outlineLevel="0" collapsed="false">
      <c r="A343" s="39" t="n">
        <v>46129.4319444444</v>
      </c>
      <c r="B343" s="40" t="s">
        <v>36</v>
      </c>
      <c r="C343" s="41" t="s">
        <v>27</v>
      </c>
      <c r="D343" s="42" t="n">
        <v>3</v>
      </c>
      <c r="E343" s="43" t="n">
        <f aca="false">YEAR(A343)</f>
        <v>2026</v>
      </c>
      <c r="F343" s="43" t="n">
        <f aca="false">MONTH(A343)</f>
        <v>4</v>
      </c>
      <c r="G343" s="43" t="n">
        <f aca="false">E343*100+F343</f>
        <v>202604</v>
      </c>
      <c r="H343" s="43" t="str">
        <f aca="false">CHOOSE(F343,"Gen","Feb","Mar","Apr","Mag","Giu","Lug","Ago","Set","Ott","Nov","Dic")&amp;" "&amp;E343</f>
        <v>Apr 2026</v>
      </c>
      <c r="I343" s="43" t="n">
        <f aca="false">SUMPRODUCT(($A$2:$A$494&gt;A343)*1)+1</f>
        <v>152</v>
      </c>
      <c r="J343" s="43" t="str">
        <f aca="false">IF(G343=Supporto!$J$4,SUMPRODUCT(($G$2:$G$494=Supporto!$J$4)*($A$2:$A$494&gt;A343))+1,"")</f>
        <v/>
      </c>
    </row>
    <row r="344" customFormat="false" ht="15" hidden="false" customHeight="false" outlineLevel="0" collapsed="false">
      <c r="A344" s="39" t="n">
        <v>46129.8333333333</v>
      </c>
      <c r="B344" s="40" t="s">
        <v>37</v>
      </c>
      <c r="C344" s="41" t="s">
        <v>32</v>
      </c>
      <c r="D344" s="42" t="n">
        <v>139.82</v>
      </c>
      <c r="E344" s="43" t="n">
        <f aca="false">YEAR(A344)</f>
        <v>2026</v>
      </c>
      <c r="F344" s="43" t="n">
        <f aca="false">MONTH(A344)</f>
        <v>4</v>
      </c>
      <c r="G344" s="43" t="n">
        <f aca="false">E344*100+F344</f>
        <v>202604</v>
      </c>
      <c r="H344" s="43" t="str">
        <f aca="false">CHOOSE(F344,"Gen","Feb","Mar","Apr","Mag","Giu","Lug","Ago","Set","Ott","Nov","Dic")&amp;" "&amp;E344</f>
        <v>Apr 2026</v>
      </c>
      <c r="I344" s="43" t="n">
        <f aca="false">SUMPRODUCT(($A$2:$A$494&gt;A344)*1)+1</f>
        <v>151</v>
      </c>
      <c r="J344" s="43" t="str">
        <f aca="false">IF(G344=Supporto!$J$4,SUMPRODUCT(($G$2:$G$494=Supporto!$J$4)*($A$2:$A$494&gt;A344))+1,"")</f>
        <v/>
      </c>
    </row>
    <row r="345" customFormat="false" ht="15" hidden="false" customHeight="false" outlineLevel="0" collapsed="false">
      <c r="A345" s="39" t="n">
        <v>46129.8375</v>
      </c>
      <c r="B345" s="40" t="s">
        <v>29</v>
      </c>
      <c r="C345" s="41" t="s">
        <v>27</v>
      </c>
      <c r="D345" s="42" t="n">
        <v>154.13</v>
      </c>
      <c r="E345" s="43" t="n">
        <f aca="false">YEAR(A345)</f>
        <v>2026</v>
      </c>
      <c r="F345" s="43" t="n">
        <f aca="false">MONTH(A345)</f>
        <v>4</v>
      </c>
      <c r="G345" s="43" t="n">
        <f aca="false">E345*100+F345</f>
        <v>202604</v>
      </c>
      <c r="H345" s="43" t="str">
        <f aca="false">CHOOSE(F345,"Gen","Feb","Mar","Apr","Mag","Giu","Lug","Ago","Set","Ott","Nov","Dic")&amp;" "&amp;E345</f>
        <v>Apr 2026</v>
      </c>
      <c r="I345" s="43" t="n">
        <f aca="false">SUMPRODUCT(($A$2:$A$494&gt;A345)*1)+1</f>
        <v>150</v>
      </c>
      <c r="J345" s="43" t="str">
        <f aca="false">IF(G345=Supporto!$J$4,SUMPRODUCT(($G$2:$G$494=Supporto!$J$4)*($A$2:$A$494&gt;A345))+1,"")</f>
        <v/>
      </c>
    </row>
    <row r="346" customFormat="false" ht="15" hidden="false" customHeight="false" outlineLevel="0" collapsed="false">
      <c r="A346" s="39" t="n">
        <v>46130.7375</v>
      </c>
      <c r="B346" s="40" t="s">
        <v>34</v>
      </c>
      <c r="C346" s="41" t="s">
        <v>27</v>
      </c>
      <c r="D346" s="42" t="n">
        <v>35.37</v>
      </c>
      <c r="E346" s="43" t="n">
        <f aca="false">YEAR(A346)</f>
        <v>2026</v>
      </c>
      <c r="F346" s="43" t="n">
        <f aca="false">MONTH(A346)</f>
        <v>4</v>
      </c>
      <c r="G346" s="43" t="n">
        <f aca="false">E346*100+F346</f>
        <v>202604</v>
      </c>
      <c r="H346" s="43" t="str">
        <f aca="false">CHOOSE(F346,"Gen","Feb","Mar","Apr","Mag","Giu","Lug","Ago","Set","Ott","Nov","Dic")&amp;" "&amp;E346</f>
        <v>Apr 2026</v>
      </c>
      <c r="I346" s="43" t="n">
        <f aca="false">SUMPRODUCT(($A$2:$A$494&gt;A346)*1)+1</f>
        <v>149</v>
      </c>
      <c r="J346" s="43" t="str">
        <f aca="false">IF(G346=Supporto!$J$4,SUMPRODUCT(($G$2:$G$494=Supporto!$J$4)*($A$2:$A$494&gt;A346))+1,"")</f>
        <v/>
      </c>
    </row>
    <row r="347" customFormat="false" ht="15" hidden="false" customHeight="false" outlineLevel="0" collapsed="false">
      <c r="A347" s="39" t="n">
        <v>46131.4138888889</v>
      </c>
      <c r="B347" s="40" t="s">
        <v>35</v>
      </c>
      <c r="C347" s="41" t="s">
        <v>27</v>
      </c>
      <c r="D347" s="42" t="n">
        <v>66.38</v>
      </c>
      <c r="E347" s="43" t="n">
        <f aca="false">YEAR(A347)</f>
        <v>2026</v>
      </c>
      <c r="F347" s="43" t="n">
        <f aca="false">MONTH(A347)</f>
        <v>4</v>
      </c>
      <c r="G347" s="43" t="n">
        <f aca="false">E347*100+F347</f>
        <v>202604</v>
      </c>
      <c r="H347" s="43" t="str">
        <f aca="false">CHOOSE(F347,"Gen","Feb","Mar","Apr","Mag","Giu","Lug","Ago","Set","Ott","Nov","Dic")&amp;" "&amp;E347</f>
        <v>Apr 2026</v>
      </c>
      <c r="I347" s="43" t="n">
        <f aca="false">SUMPRODUCT(($A$2:$A$494&gt;A347)*1)+1</f>
        <v>148</v>
      </c>
      <c r="J347" s="43" t="str">
        <f aca="false">IF(G347=Supporto!$J$4,SUMPRODUCT(($G$2:$G$494=Supporto!$J$4)*($A$2:$A$494&gt;A347))+1,"")</f>
        <v/>
      </c>
    </row>
    <row r="348" customFormat="false" ht="15" hidden="false" customHeight="false" outlineLevel="0" collapsed="false">
      <c r="A348" s="39" t="n">
        <v>46131.7944444444</v>
      </c>
      <c r="B348" s="40" t="s">
        <v>30</v>
      </c>
      <c r="C348" s="41" t="s">
        <v>27</v>
      </c>
      <c r="D348" s="42" t="n">
        <v>41.77</v>
      </c>
      <c r="E348" s="43" t="n">
        <f aca="false">YEAR(A348)</f>
        <v>2026</v>
      </c>
      <c r="F348" s="43" t="n">
        <f aca="false">MONTH(A348)</f>
        <v>4</v>
      </c>
      <c r="G348" s="43" t="n">
        <f aca="false">E348*100+F348</f>
        <v>202604</v>
      </c>
      <c r="H348" s="43" t="str">
        <f aca="false">CHOOSE(F348,"Gen","Feb","Mar","Apr","Mag","Giu","Lug","Ago","Set","Ott","Nov","Dic")&amp;" "&amp;E348</f>
        <v>Apr 2026</v>
      </c>
      <c r="I348" s="43" t="n">
        <f aca="false">SUMPRODUCT(($A$2:$A$494&gt;A348)*1)+1</f>
        <v>147</v>
      </c>
      <c r="J348" s="43" t="str">
        <f aca="false">IF(G348=Supporto!$J$4,SUMPRODUCT(($G$2:$G$494=Supporto!$J$4)*($A$2:$A$494&gt;A348))+1,"")</f>
        <v/>
      </c>
    </row>
    <row r="349" customFormat="false" ht="15" hidden="false" customHeight="false" outlineLevel="0" collapsed="false">
      <c r="A349" s="39" t="n">
        <v>46132.6868055556</v>
      </c>
      <c r="B349" s="40" t="s">
        <v>29</v>
      </c>
      <c r="C349" s="41" t="s">
        <v>27</v>
      </c>
      <c r="D349" s="42" t="n">
        <v>114.86</v>
      </c>
      <c r="E349" s="43" t="n">
        <f aca="false">YEAR(A349)</f>
        <v>2026</v>
      </c>
      <c r="F349" s="43" t="n">
        <f aca="false">MONTH(A349)</f>
        <v>4</v>
      </c>
      <c r="G349" s="43" t="n">
        <f aca="false">E349*100+F349</f>
        <v>202604</v>
      </c>
      <c r="H349" s="43" t="str">
        <f aca="false">CHOOSE(F349,"Gen","Feb","Mar","Apr","Mag","Giu","Lug","Ago","Set","Ott","Nov","Dic")&amp;" "&amp;E349</f>
        <v>Apr 2026</v>
      </c>
      <c r="I349" s="43" t="n">
        <f aca="false">SUMPRODUCT(($A$2:$A$494&gt;A349)*1)+1</f>
        <v>146</v>
      </c>
      <c r="J349" s="43" t="str">
        <f aca="false">IF(G349=Supporto!$J$4,SUMPRODUCT(($G$2:$G$494=Supporto!$J$4)*($A$2:$A$494&gt;A349))+1,"")</f>
        <v/>
      </c>
    </row>
    <row r="350" customFormat="false" ht="15" hidden="false" customHeight="false" outlineLevel="0" collapsed="false">
      <c r="A350" s="39" t="n">
        <v>46133.3180555556</v>
      </c>
      <c r="B350" s="40" t="s">
        <v>33</v>
      </c>
      <c r="C350" s="41" t="s">
        <v>27</v>
      </c>
      <c r="D350" s="42" t="n">
        <v>38.42</v>
      </c>
      <c r="E350" s="43" t="n">
        <f aca="false">YEAR(A350)</f>
        <v>2026</v>
      </c>
      <c r="F350" s="43" t="n">
        <f aca="false">MONTH(A350)</f>
        <v>4</v>
      </c>
      <c r="G350" s="43" t="n">
        <f aca="false">E350*100+F350</f>
        <v>202604</v>
      </c>
      <c r="H350" s="43" t="str">
        <f aca="false">CHOOSE(F350,"Gen","Feb","Mar","Apr","Mag","Giu","Lug","Ago","Set","Ott","Nov","Dic")&amp;" "&amp;E350</f>
        <v>Apr 2026</v>
      </c>
      <c r="I350" s="43" t="n">
        <f aca="false">SUMPRODUCT(($A$2:$A$494&gt;A350)*1)+1</f>
        <v>145</v>
      </c>
      <c r="J350" s="43" t="str">
        <f aca="false">IF(G350=Supporto!$J$4,SUMPRODUCT(($G$2:$G$494=Supporto!$J$4)*($A$2:$A$494&gt;A350))+1,"")</f>
        <v/>
      </c>
    </row>
    <row r="351" customFormat="false" ht="15" hidden="false" customHeight="false" outlineLevel="0" collapsed="false">
      <c r="A351" s="39" t="n">
        <v>46134.6256944445</v>
      </c>
      <c r="B351" s="40" t="s">
        <v>33</v>
      </c>
      <c r="C351" s="41" t="s">
        <v>27</v>
      </c>
      <c r="D351" s="42" t="n">
        <v>12.83</v>
      </c>
      <c r="E351" s="43" t="n">
        <f aca="false">YEAR(A351)</f>
        <v>2026</v>
      </c>
      <c r="F351" s="43" t="n">
        <f aca="false">MONTH(A351)</f>
        <v>4</v>
      </c>
      <c r="G351" s="43" t="n">
        <f aca="false">E351*100+F351</f>
        <v>202604</v>
      </c>
      <c r="H351" s="43" t="str">
        <f aca="false">CHOOSE(F351,"Gen","Feb","Mar","Apr","Mag","Giu","Lug","Ago","Set","Ott","Nov","Dic")&amp;" "&amp;E351</f>
        <v>Apr 2026</v>
      </c>
      <c r="I351" s="43" t="n">
        <f aca="false">SUMPRODUCT(($A$2:$A$494&gt;A351)*1)+1</f>
        <v>144</v>
      </c>
      <c r="J351" s="43" t="str">
        <f aca="false">IF(G351=Supporto!$J$4,SUMPRODUCT(($G$2:$G$494=Supporto!$J$4)*($A$2:$A$494&gt;A351))+1,"")</f>
        <v/>
      </c>
    </row>
    <row r="352" customFormat="false" ht="15" hidden="false" customHeight="false" outlineLevel="0" collapsed="false">
      <c r="A352" s="39" t="n">
        <v>46134.9263888889</v>
      </c>
      <c r="B352" s="40" t="s">
        <v>26</v>
      </c>
      <c r="C352" s="41" t="s">
        <v>27</v>
      </c>
      <c r="D352" s="42" t="n">
        <v>43.77</v>
      </c>
      <c r="E352" s="43" t="n">
        <f aca="false">YEAR(A352)</f>
        <v>2026</v>
      </c>
      <c r="F352" s="43" t="n">
        <f aca="false">MONTH(A352)</f>
        <v>4</v>
      </c>
      <c r="G352" s="43" t="n">
        <f aca="false">E352*100+F352</f>
        <v>202604</v>
      </c>
      <c r="H352" s="43" t="str">
        <f aca="false">CHOOSE(F352,"Gen","Feb","Mar","Apr","Mag","Giu","Lug","Ago","Set","Ott","Nov","Dic")&amp;" "&amp;E352</f>
        <v>Apr 2026</v>
      </c>
      <c r="I352" s="43" t="n">
        <f aca="false">SUMPRODUCT(($A$2:$A$494&gt;A352)*1)+1</f>
        <v>143</v>
      </c>
      <c r="J352" s="43" t="str">
        <f aca="false">IF(G352=Supporto!$J$4,SUMPRODUCT(($G$2:$G$494=Supporto!$J$4)*($A$2:$A$494&gt;A352))+1,"")</f>
        <v/>
      </c>
    </row>
    <row r="353" customFormat="false" ht="15" hidden="false" customHeight="false" outlineLevel="0" collapsed="false">
      <c r="A353" s="39" t="n">
        <v>46134.9395833333</v>
      </c>
      <c r="B353" s="40" t="s">
        <v>36</v>
      </c>
      <c r="C353" s="41" t="s">
        <v>27</v>
      </c>
      <c r="D353" s="42" t="n">
        <v>12.62</v>
      </c>
      <c r="E353" s="43" t="n">
        <f aca="false">YEAR(A353)</f>
        <v>2026</v>
      </c>
      <c r="F353" s="43" t="n">
        <f aca="false">MONTH(A353)</f>
        <v>4</v>
      </c>
      <c r="G353" s="43" t="n">
        <f aca="false">E353*100+F353</f>
        <v>202604</v>
      </c>
      <c r="H353" s="43" t="str">
        <f aca="false">CHOOSE(F353,"Gen","Feb","Mar","Apr","Mag","Giu","Lug","Ago","Set","Ott","Nov","Dic")&amp;" "&amp;E353</f>
        <v>Apr 2026</v>
      </c>
      <c r="I353" s="43" t="n">
        <f aca="false">SUMPRODUCT(($A$2:$A$494&gt;A353)*1)+1</f>
        <v>142</v>
      </c>
      <c r="J353" s="43" t="str">
        <f aca="false">IF(G353=Supporto!$J$4,SUMPRODUCT(($G$2:$G$494=Supporto!$J$4)*($A$2:$A$494&gt;A353))+1,"")</f>
        <v/>
      </c>
    </row>
    <row r="354" customFormat="false" ht="15" hidden="false" customHeight="false" outlineLevel="0" collapsed="false">
      <c r="A354" s="39" t="n">
        <v>46137.3631944444</v>
      </c>
      <c r="B354" s="40" t="s">
        <v>38</v>
      </c>
      <c r="C354" s="41" t="s">
        <v>27</v>
      </c>
      <c r="D354" s="42" t="n">
        <v>72.1</v>
      </c>
      <c r="E354" s="43" t="n">
        <f aca="false">YEAR(A354)</f>
        <v>2026</v>
      </c>
      <c r="F354" s="43" t="n">
        <f aca="false">MONTH(A354)</f>
        <v>4</v>
      </c>
      <c r="G354" s="43" t="n">
        <f aca="false">E354*100+F354</f>
        <v>202604</v>
      </c>
      <c r="H354" s="43" t="str">
        <f aca="false">CHOOSE(F354,"Gen","Feb","Mar","Apr","Mag","Giu","Lug","Ago","Set","Ott","Nov","Dic")&amp;" "&amp;E354</f>
        <v>Apr 2026</v>
      </c>
      <c r="I354" s="43" t="n">
        <f aca="false">SUMPRODUCT(($A$2:$A$494&gt;A354)*1)+1</f>
        <v>141</v>
      </c>
      <c r="J354" s="43" t="str">
        <f aca="false">IF(G354=Supporto!$J$4,SUMPRODUCT(($G$2:$G$494=Supporto!$J$4)*($A$2:$A$494&gt;A354))+1,"")</f>
        <v/>
      </c>
    </row>
    <row r="355" customFormat="false" ht="15" hidden="false" customHeight="false" outlineLevel="0" collapsed="false">
      <c r="A355" s="39" t="n">
        <v>46137.65</v>
      </c>
      <c r="B355" s="40" t="s">
        <v>26</v>
      </c>
      <c r="C355" s="41" t="s">
        <v>27</v>
      </c>
      <c r="D355" s="42" t="n">
        <v>5.72</v>
      </c>
      <c r="E355" s="43" t="n">
        <f aca="false">YEAR(A355)</f>
        <v>2026</v>
      </c>
      <c r="F355" s="43" t="n">
        <f aca="false">MONTH(A355)</f>
        <v>4</v>
      </c>
      <c r="G355" s="43" t="n">
        <f aca="false">E355*100+F355</f>
        <v>202604</v>
      </c>
      <c r="H355" s="43" t="str">
        <f aca="false">CHOOSE(F355,"Gen","Feb","Mar","Apr","Mag","Giu","Lug","Ago","Set","Ott","Nov","Dic")&amp;" "&amp;E355</f>
        <v>Apr 2026</v>
      </c>
      <c r="I355" s="43" t="n">
        <f aca="false">SUMPRODUCT(($A$2:$A$494&gt;A355)*1)+1</f>
        <v>140</v>
      </c>
      <c r="J355" s="43" t="str">
        <f aca="false">IF(G355=Supporto!$J$4,SUMPRODUCT(($G$2:$G$494=Supporto!$J$4)*($A$2:$A$494&gt;A355))+1,"")</f>
        <v/>
      </c>
    </row>
    <row r="356" customFormat="false" ht="15" hidden="false" customHeight="false" outlineLevel="0" collapsed="false">
      <c r="A356" s="39" t="n">
        <v>46137.7069444444</v>
      </c>
      <c r="B356" s="40" t="s">
        <v>33</v>
      </c>
      <c r="C356" s="41" t="s">
        <v>27</v>
      </c>
      <c r="D356" s="42" t="n">
        <v>8.1</v>
      </c>
      <c r="E356" s="43" t="n">
        <f aca="false">YEAR(A356)</f>
        <v>2026</v>
      </c>
      <c r="F356" s="43" t="n">
        <f aca="false">MONTH(A356)</f>
        <v>4</v>
      </c>
      <c r="G356" s="43" t="n">
        <f aca="false">E356*100+F356</f>
        <v>202604</v>
      </c>
      <c r="H356" s="43" t="str">
        <f aca="false">CHOOSE(F356,"Gen","Feb","Mar","Apr","Mag","Giu","Lug","Ago","Set","Ott","Nov","Dic")&amp;" "&amp;E356</f>
        <v>Apr 2026</v>
      </c>
      <c r="I356" s="43" t="n">
        <f aca="false">SUMPRODUCT(($A$2:$A$494&gt;A356)*1)+1</f>
        <v>139</v>
      </c>
      <c r="J356" s="43" t="str">
        <f aca="false">IF(G356=Supporto!$J$4,SUMPRODUCT(($G$2:$G$494=Supporto!$J$4)*($A$2:$A$494&gt;A356))+1,"")</f>
        <v/>
      </c>
    </row>
    <row r="357" customFormat="false" ht="15" hidden="false" customHeight="false" outlineLevel="0" collapsed="false">
      <c r="A357" s="39" t="n">
        <v>46138.4541666667</v>
      </c>
      <c r="B357" s="40" t="s">
        <v>29</v>
      </c>
      <c r="C357" s="41" t="s">
        <v>27</v>
      </c>
      <c r="D357" s="42" t="n">
        <v>19.95</v>
      </c>
      <c r="E357" s="43" t="n">
        <f aca="false">YEAR(A357)</f>
        <v>2026</v>
      </c>
      <c r="F357" s="43" t="n">
        <f aca="false">MONTH(A357)</f>
        <v>4</v>
      </c>
      <c r="G357" s="43" t="n">
        <f aca="false">E357*100+F357</f>
        <v>202604</v>
      </c>
      <c r="H357" s="43" t="str">
        <f aca="false">CHOOSE(F357,"Gen","Feb","Mar","Apr","Mag","Giu","Lug","Ago","Set","Ott","Nov","Dic")&amp;" "&amp;E357</f>
        <v>Apr 2026</v>
      </c>
      <c r="I357" s="43" t="n">
        <f aca="false">SUMPRODUCT(($A$2:$A$494&gt;A357)*1)+1</f>
        <v>138</v>
      </c>
      <c r="J357" s="43" t="str">
        <f aca="false">IF(G357=Supporto!$J$4,SUMPRODUCT(($G$2:$G$494=Supporto!$J$4)*($A$2:$A$494&gt;A357))+1,"")</f>
        <v/>
      </c>
    </row>
    <row r="358" customFormat="false" ht="15" hidden="false" customHeight="false" outlineLevel="0" collapsed="false">
      <c r="A358" s="39" t="n">
        <v>46139.375</v>
      </c>
      <c r="B358" s="40" t="s">
        <v>40</v>
      </c>
      <c r="C358" s="41" t="s">
        <v>32</v>
      </c>
      <c r="D358" s="42" t="n">
        <v>2272.73</v>
      </c>
      <c r="E358" s="43" t="n">
        <f aca="false">YEAR(A358)</f>
        <v>2026</v>
      </c>
      <c r="F358" s="43" t="n">
        <f aca="false">MONTH(A358)</f>
        <v>4</v>
      </c>
      <c r="G358" s="43" t="n">
        <f aca="false">E358*100+F358</f>
        <v>202604</v>
      </c>
      <c r="H358" s="43" t="str">
        <f aca="false">CHOOSE(F358,"Gen","Feb","Mar","Apr","Mag","Giu","Lug","Ago","Set","Ott","Nov","Dic")&amp;" "&amp;E358</f>
        <v>Apr 2026</v>
      </c>
      <c r="I358" s="43" t="n">
        <f aca="false">SUMPRODUCT(($A$2:$A$494&gt;A358)*1)+1</f>
        <v>137</v>
      </c>
      <c r="J358" s="43" t="str">
        <f aca="false">IF(G358=Supporto!$J$4,SUMPRODUCT(($G$2:$G$494=Supporto!$J$4)*($A$2:$A$494&gt;A358))+1,"")</f>
        <v/>
      </c>
    </row>
    <row r="359" customFormat="false" ht="15" hidden="false" customHeight="false" outlineLevel="0" collapsed="false">
      <c r="A359" s="39" t="n">
        <v>46139.3784722222</v>
      </c>
      <c r="B359" s="40" t="s">
        <v>41</v>
      </c>
      <c r="C359" s="41" t="s">
        <v>32</v>
      </c>
      <c r="D359" s="42" t="n">
        <v>1862.71</v>
      </c>
      <c r="E359" s="43" t="n">
        <f aca="false">YEAR(A359)</f>
        <v>2026</v>
      </c>
      <c r="F359" s="43" t="n">
        <f aca="false">MONTH(A359)</f>
        <v>4</v>
      </c>
      <c r="G359" s="43" t="n">
        <f aca="false">E359*100+F359</f>
        <v>202604</v>
      </c>
      <c r="H359" s="43" t="str">
        <f aca="false">CHOOSE(F359,"Gen","Feb","Mar","Apr","Mag","Giu","Lug","Ago","Set","Ott","Nov","Dic")&amp;" "&amp;E359</f>
        <v>Apr 2026</v>
      </c>
      <c r="I359" s="43" t="n">
        <f aca="false">SUMPRODUCT(($A$2:$A$494&gt;A359)*1)+1</f>
        <v>136</v>
      </c>
      <c r="J359" s="43" t="str">
        <f aca="false">IF(G359=Supporto!$J$4,SUMPRODUCT(($G$2:$G$494=Supporto!$J$4)*($A$2:$A$494&gt;A359))+1,"")</f>
        <v/>
      </c>
    </row>
    <row r="360" customFormat="false" ht="15" hidden="false" customHeight="false" outlineLevel="0" collapsed="false">
      <c r="A360" s="39" t="n">
        <v>46139.8923611111</v>
      </c>
      <c r="B360" s="40" t="s">
        <v>28</v>
      </c>
      <c r="C360" s="41" t="s">
        <v>27</v>
      </c>
      <c r="D360" s="42" t="n">
        <v>208.37</v>
      </c>
      <c r="E360" s="43" t="n">
        <f aca="false">YEAR(A360)</f>
        <v>2026</v>
      </c>
      <c r="F360" s="43" t="n">
        <f aca="false">MONTH(A360)</f>
        <v>4</v>
      </c>
      <c r="G360" s="43" t="n">
        <f aca="false">E360*100+F360</f>
        <v>202604</v>
      </c>
      <c r="H360" s="43" t="str">
        <f aca="false">CHOOSE(F360,"Gen","Feb","Mar","Apr","Mag","Giu","Lug","Ago","Set","Ott","Nov","Dic")&amp;" "&amp;E360</f>
        <v>Apr 2026</v>
      </c>
      <c r="I360" s="43" t="n">
        <f aca="false">SUMPRODUCT(($A$2:$A$494&gt;A360)*1)+1</f>
        <v>135</v>
      </c>
      <c r="J360" s="43" t="str">
        <f aca="false">IF(G360=Supporto!$J$4,SUMPRODUCT(($G$2:$G$494=Supporto!$J$4)*($A$2:$A$494&gt;A360))+1,"")</f>
        <v/>
      </c>
    </row>
    <row r="361" customFormat="false" ht="15" hidden="false" customHeight="false" outlineLevel="0" collapsed="false">
      <c r="A361" s="39" t="n">
        <v>46140.4319444444</v>
      </c>
      <c r="B361" s="40" t="s">
        <v>26</v>
      </c>
      <c r="C361" s="41" t="s">
        <v>27</v>
      </c>
      <c r="D361" s="42" t="n">
        <v>4.1</v>
      </c>
      <c r="E361" s="43" t="n">
        <f aca="false">YEAR(A361)</f>
        <v>2026</v>
      </c>
      <c r="F361" s="43" t="n">
        <f aca="false">MONTH(A361)</f>
        <v>4</v>
      </c>
      <c r="G361" s="43" t="n">
        <f aca="false">E361*100+F361</f>
        <v>202604</v>
      </c>
      <c r="H361" s="43" t="str">
        <f aca="false">CHOOSE(F361,"Gen","Feb","Mar","Apr","Mag","Giu","Lug","Ago","Set","Ott","Nov","Dic")&amp;" "&amp;E361</f>
        <v>Apr 2026</v>
      </c>
      <c r="I361" s="43" t="n">
        <f aca="false">SUMPRODUCT(($A$2:$A$494&gt;A361)*1)+1</f>
        <v>134</v>
      </c>
      <c r="J361" s="43" t="str">
        <f aca="false">IF(G361=Supporto!$J$4,SUMPRODUCT(($G$2:$G$494=Supporto!$J$4)*($A$2:$A$494&gt;A361))+1,"")</f>
        <v/>
      </c>
    </row>
    <row r="362" customFormat="false" ht="15" hidden="false" customHeight="false" outlineLevel="0" collapsed="false">
      <c r="A362" s="39" t="n">
        <v>46140.7548611111</v>
      </c>
      <c r="B362" s="40" t="s">
        <v>26</v>
      </c>
      <c r="C362" s="41" t="s">
        <v>27</v>
      </c>
      <c r="D362" s="42" t="n">
        <v>3</v>
      </c>
      <c r="E362" s="43" t="n">
        <f aca="false">YEAR(A362)</f>
        <v>2026</v>
      </c>
      <c r="F362" s="43" t="n">
        <f aca="false">MONTH(A362)</f>
        <v>4</v>
      </c>
      <c r="G362" s="43" t="n">
        <f aca="false">E362*100+F362</f>
        <v>202604</v>
      </c>
      <c r="H362" s="43" t="str">
        <f aca="false">CHOOSE(F362,"Gen","Feb","Mar","Apr","Mag","Giu","Lug","Ago","Set","Ott","Nov","Dic")&amp;" "&amp;E362</f>
        <v>Apr 2026</v>
      </c>
      <c r="I362" s="43" t="n">
        <f aca="false">SUMPRODUCT(($A$2:$A$494&gt;A362)*1)+1</f>
        <v>133</v>
      </c>
      <c r="J362" s="43" t="str">
        <f aca="false">IF(G362=Supporto!$J$4,SUMPRODUCT(($G$2:$G$494=Supporto!$J$4)*($A$2:$A$494&gt;A362))+1,"")</f>
        <v/>
      </c>
    </row>
    <row r="363" customFormat="false" ht="15" hidden="false" customHeight="false" outlineLevel="0" collapsed="false">
      <c r="A363" s="39" t="n">
        <v>46143.9152777778</v>
      </c>
      <c r="B363" s="40" t="s">
        <v>29</v>
      </c>
      <c r="C363" s="41" t="s">
        <v>27</v>
      </c>
      <c r="D363" s="42" t="n">
        <v>88.39</v>
      </c>
      <c r="E363" s="43" t="n">
        <f aca="false">YEAR(A363)</f>
        <v>2026</v>
      </c>
      <c r="F363" s="43" t="n">
        <f aca="false">MONTH(A363)</f>
        <v>5</v>
      </c>
      <c r="G363" s="43" t="n">
        <f aca="false">E363*100+F363</f>
        <v>202605</v>
      </c>
      <c r="H363" s="43" t="str">
        <f aca="false">CHOOSE(F363,"Gen","Feb","Mar","Apr","Mag","Giu","Lug","Ago","Set","Ott","Nov","Dic")&amp;" "&amp;E363</f>
        <v>Mag 2026</v>
      </c>
      <c r="I363" s="43" t="n">
        <f aca="false">SUMPRODUCT(($A$2:$A$494&gt;A363)*1)+1</f>
        <v>132</v>
      </c>
      <c r="J363" s="43" t="str">
        <f aca="false">IF(G363=Supporto!$J$4,SUMPRODUCT(($G$2:$G$494=Supporto!$J$4)*($A$2:$A$494&gt;A363))+1,"")</f>
        <v/>
      </c>
    </row>
    <row r="364" customFormat="false" ht="15" hidden="false" customHeight="false" outlineLevel="0" collapsed="false">
      <c r="A364" s="39" t="n">
        <v>46144.7868055556</v>
      </c>
      <c r="B364" s="40" t="s">
        <v>35</v>
      </c>
      <c r="C364" s="41" t="s">
        <v>27</v>
      </c>
      <c r="D364" s="42" t="n">
        <v>84.64</v>
      </c>
      <c r="E364" s="43" t="n">
        <f aca="false">YEAR(A364)</f>
        <v>2026</v>
      </c>
      <c r="F364" s="43" t="n">
        <f aca="false">MONTH(A364)</f>
        <v>5</v>
      </c>
      <c r="G364" s="43" t="n">
        <f aca="false">E364*100+F364</f>
        <v>202605</v>
      </c>
      <c r="H364" s="43" t="str">
        <f aca="false">CHOOSE(F364,"Gen","Feb","Mar","Apr","Mag","Giu","Lug","Ago","Set","Ott","Nov","Dic")&amp;" "&amp;E364</f>
        <v>Mag 2026</v>
      </c>
      <c r="I364" s="43" t="n">
        <f aca="false">SUMPRODUCT(($A$2:$A$494&gt;A364)*1)+1</f>
        <v>131</v>
      </c>
      <c r="J364" s="43" t="str">
        <f aca="false">IF(G364=Supporto!$J$4,SUMPRODUCT(($G$2:$G$494=Supporto!$J$4)*($A$2:$A$494&gt;A364))+1,"")</f>
        <v/>
      </c>
    </row>
    <row r="365" customFormat="false" ht="15" hidden="false" customHeight="false" outlineLevel="0" collapsed="false">
      <c r="A365" s="39" t="n">
        <v>46145.7333333333</v>
      </c>
      <c r="B365" s="40" t="s">
        <v>29</v>
      </c>
      <c r="C365" s="41" t="s">
        <v>27</v>
      </c>
      <c r="D365" s="42" t="n">
        <v>30.2</v>
      </c>
      <c r="E365" s="43" t="n">
        <f aca="false">YEAR(A365)</f>
        <v>2026</v>
      </c>
      <c r="F365" s="43" t="n">
        <f aca="false">MONTH(A365)</f>
        <v>5</v>
      </c>
      <c r="G365" s="43" t="n">
        <f aca="false">E365*100+F365</f>
        <v>202605</v>
      </c>
      <c r="H365" s="43" t="str">
        <f aca="false">CHOOSE(F365,"Gen","Feb","Mar","Apr","Mag","Giu","Lug","Ago","Set","Ott","Nov","Dic")&amp;" "&amp;E365</f>
        <v>Mag 2026</v>
      </c>
      <c r="I365" s="43" t="n">
        <f aca="false">SUMPRODUCT(($A$2:$A$494&gt;A365)*1)+1</f>
        <v>130</v>
      </c>
      <c r="J365" s="43" t="str">
        <f aca="false">IF(G365=Supporto!$J$4,SUMPRODUCT(($G$2:$G$494=Supporto!$J$4)*($A$2:$A$494&gt;A365))+1,"")</f>
        <v/>
      </c>
    </row>
    <row r="366" customFormat="false" ht="15" hidden="false" customHeight="false" outlineLevel="0" collapsed="false">
      <c r="A366" s="39" t="n">
        <v>46146.4694444445</v>
      </c>
      <c r="B366" s="40" t="s">
        <v>26</v>
      </c>
      <c r="C366" s="41" t="s">
        <v>27</v>
      </c>
      <c r="D366" s="42" t="n">
        <v>3</v>
      </c>
      <c r="E366" s="43" t="n">
        <f aca="false">YEAR(A366)</f>
        <v>2026</v>
      </c>
      <c r="F366" s="43" t="n">
        <f aca="false">MONTH(A366)</f>
        <v>5</v>
      </c>
      <c r="G366" s="43" t="n">
        <f aca="false">E366*100+F366</f>
        <v>202605</v>
      </c>
      <c r="H366" s="43" t="str">
        <f aca="false">CHOOSE(F366,"Gen","Feb","Mar","Apr","Mag","Giu","Lug","Ago","Set","Ott","Nov","Dic")&amp;" "&amp;E366</f>
        <v>Mag 2026</v>
      </c>
      <c r="I366" s="43" t="n">
        <f aca="false">SUMPRODUCT(($A$2:$A$494&gt;A366)*1)+1</f>
        <v>129</v>
      </c>
      <c r="J366" s="43" t="str">
        <f aca="false">IF(G366=Supporto!$J$4,SUMPRODUCT(($G$2:$G$494=Supporto!$J$4)*($A$2:$A$494&gt;A366))+1,"")</f>
        <v/>
      </c>
    </row>
    <row r="367" customFormat="false" ht="15" hidden="false" customHeight="false" outlineLevel="0" collapsed="false">
      <c r="A367" s="39" t="n">
        <v>46146.7923611111</v>
      </c>
      <c r="B367" s="40" t="s">
        <v>29</v>
      </c>
      <c r="C367" s="41" t="s">
        <v>27</v>
      </c>
      <c r="D367" s="42" t="n">
        <v>146.71</v>
      </c>
      <c r="E367" s="43" t="n">
        <f aca="false">YEAR(A367)</f>
        <v>2026</v>
      </c>
      <c r="F367" s="43" t="n">
        <f aca="false">MONTH(A367)</f>
        <v>5</v>
      </c>
      <c r="G367" s="43" t="n">
        <f aca="false">E367*100+F367</f>
        <v>202605</v>
      </c>
      <c r="H367" s="43" t="str">
        <f aca="false">CHOOSE(F367,"Gen","Feb","Mar","Apr","Mag","Giu","Lug","Ago","Set","Ott","Nov","Dic")&amp;" "&amp;E367</f>
        <v>Mag 2026</v>
      </c>
      <c r="I367" s="43" t="n">
        <f aca="false">SUMPRODUCT(($A$2:$A$494&gt;A367)*1)+1</f>
        <v>128</v>
      </c>
      <c r="J367" s="43" t="str">
        <f aca="false">IF(G367=Supporto!$J$4,SUMPRODUCT(($G$2:$G$494=Supporto!$J$4)*($A$2:$A$494&gt;A367))+1,"")</f>
        <v/>
      </c>
    </row>
    <row r="368" customFormat="false" ht="15" hidden="false" customHeight="false" outlineLevel="0" collapsed="false">
      <c r="A368" s="39" t="n">
        <v>46149.5263888889</v>
      </c>
      <c r="B368" s="40" t="s">
        <v>26</v>
      </c>
      <c r="C368" s="41" t="s">
        <v>27</v>
      </c>
      <c r="D368" s="42" t="n">
        <v>92.56</v>
      </c>
      <c r="E368" s="43" t="n">
        <f aca="false">YEAR(A368)</f>
        <v>2026</v>
      </c>
      <c r="F368" s="43" t="n">
        <f aca="false">MONTH(A368)</f>
        <v>5</v>
      </c>
      <c r="G368" s="43" t="n">
        <f aca="false">E368*100+F368</f>
        <v>202605</v>
      </c>
      <c r="H368" s="43" t="str">
        <f aca="false">CHOOSE(F368,"Gen","Feb","Mar","Apr","Mag","Giu","Lug","Ago","Set","Ott","Nov","Dic")&amp;" "&amp;E368</f>
        <v>Mag 2026</v>
      </c>
      <c r="I368" s="43" t="n">
        <f aca="false">SUMPRODUCT(($A$2:$A$494&gt;A368)*1)+1</f>
        <v>127</v>
      </c>
      <c r="J368" s="43" t="str">
        <f aca="false">IF(G368=Supporto!$J$4,SUMPRODUCT(($G$2:$G$494=Supporto!$J$4)*($A$2:$A$494&gt;A368))+1,"")</f>
        <v/>
      </c>
    </row>
    <row r="369" customFormat="false" ht="15" hidden="false" customHeight="false" outlineLevel="0" collapsed="false">
      <c r="A369" s="39" t="n">
        <v>46149.8333333333</v>
      </c>
      <c r="B369" s="40" t="s">
        <v>37</v>
      </c>
      <c r="C369" s="41" t="s">
        <v>32</v>
      </c>
      <c r="D369" s="42" t="n">
        <v>287.18</v>
      </c>
      <c r="E369" s="43" t="n">
        <f aca="false">YEAR(A369)</f>
        <v>2026</v>
      </c>
      <c r="F369" s="43" t="n">
        <f aca="false">MONTH(A369)</f>
        <v>5</v>
      </c>
      <c r="G369" s="43" t="n">
        <f aca="false">E369*100+F369</f>
        <v>202605</v>
      </c>
      <c r="H369" s="43" t="str">
        <f aca="false">CHOOSE(F369,"Gen","Feb","Mar","Apr","Mag","Giu","Lug","Ago","Set","Ott","Nov","Dic")&amp;" "&amp;E369</f>
        <v>Mag 2026</v>
      </c>
      <c r="I369" s="43" t="n">
        <f aca="false">SUMPRODUCT(($A$2:$A$494&gt;A369)*1)+1</f>
        <v>126</v>
      </c>
      <c r="J369" s="43" t="str">
        <f aca="false">IF(G369=Supporto!$J$4,SUMPRODUCT(($G$2:$G$494=Supporto!$J$4)*($A$2:$A$494&gt;A369))+1,"")</f>
        <v/>
      </c>
    </row>
    <row r="370" customFormat="false" ht="15" hidden="false" customHeight="false" outlineLevel="0" collapsed="false">
      <c r="A370" s="39" t="n">
        <v>46153.5979166667</v>
      </c>
      <c r="B370" s="40" t="s">
        <v>34</v>
      </c>
      <c r="C370" s="41" t="s">
        <v>27</v>
      </c>
      <c r="D370" s="42" t="n">
        <v>53.16</v>
      </c>
      <c r="E370" s="43" t="n">
        <f aca="false">YEAR(A370)</f>
        <v>2026</v>
      </c>
      <c r="F370" s="43" t="n">
        <f aca="false">MONTH(A370)</f>
        <v>5</v>
      </c>
      <c r="G370" s="43" t="n">
        <f aca="false">E370*100+F370</f>
        <v>202605</v>
      </c>
      <c r="H370" s="43" t="str">
        <f aca="false">CHOOSE(F370,"Gen","Feb","Mar","Apr","Mag","Giu","Lug","Ago","Set","Ott","Nov","Dic")&amp;" "&amp;E370</f>
        <v>Mag 2026</v>
      </c>
      <c r="I370" s="43" t="n">
        <f aca="false">SUMPRODUCT(($A$2:$A$494&gt;A370)*1)+1</f>
        <v>125</v>
      </c>
      <c r="J370" s="43" t="str">
        <f aca="false">IF(G370=Supporto!$J$4,SUMPRODUCT(($G$2:$G$494=Supporto!$J$4)*($A$2:$A$494&gt;A370))+1,"")</f>
        <v/>
      </c>
    </row>
    <row r="371" customFormat="false" ht="15" hidden="false" customHeight="false" outlineLevel="0" collapsed="false">
      <c r="A371" s="39" t="n">
        <v>46153.7145833333</v>
      </c>
      <c r="B371" s="40" t="s">
        <v>30</v>
      </c>
      <c r="C371" s="41" t="s">
        <v>27</v>
      </c>
      <c r="D371" s="42" t="n">
        <v>84.17</v>
      </c>
      <c r="E371" s="43" t="n">
        <f aca="false">YEAR(A371)</f>
        <v>2026</v>
      </c>
      <c r="F371" s="43" t="n">
        <f aca="false">MONTH(A371)</f>
        <v>5</v>
      </c>
      <c r="G371" s="43" t="n">
        <f aca="false">E371*100+F371</f>
        <v>202605</v>
      </c>
      <c r="H371" s="43" t="str">
        <f aca="false">CHOOSE(F371,"Gen","Feb","Mar","Apr","Mag","Giu","Lug","Ago","Set","Ott","Nov","Dic")&amp;" "&amp;E371</f>
        <v>Mag 2026</v>
      </c>
      <c r="I371" s="43" t="n">
        <f aca="false">SUMPRODUCT(($A$2:$A$494&gt;A371)*1)+1</f>
        <v>124</v>
      </c>
      <c r="J371" s="43" t="str">
        <f aca="false">IF(G371=Supporto!$J$4,SUMPRODUCT(($G$2:$G$494=Supporto!$J$4)*($A$2:$A$494&gt;A371))+1,"")</f>
        <v/>
      </c>
    </row>
    <row r="372" customFormat="false" ht="15" hidden="false" customHeight="false" outlineLevel="0" collapsed="false">
      <c r="A372" s="39" t="n">
        <v>46154.3881944444</v>
      </c>
      <c r="B372" s="40" t="s">
        <v>39</v>
      </c>
      <c r="C372" s="41" t="s">
        <v>27</v>
      </c>
      <c r="D372" s="42" t="n">
        <v>39.23</v>
      </c>
      <c r="E372" s="43" t="n">
        <f aca="false">YEAR(A372)</f>
        <v>2026</v>
      </c>
      <c r="F372" s="43" t="n">
        <f aca="false">MONTH(A372)</f>
        <v>5</v>
      </c>
      <c r="G372" s="43" t="n">
        <f aca="false">E372*100+F372</f>
        <v>202605</v>
      </c>
      <c r="H372" s="43" t="str">
        <f aca="false">CHOOSE(F372,"Gen","Feb","Mar","Apr","Mag","Giu","Lug","Ago","Set","Ott","Nov","Dic")&amp;" "&amp;E372</f>
        <v>Mag 2026</v>
      </c>
      <c r="I372" s="43" t="n">
        <f aca="false">SUMPRODUCT(($A$2:$A$494&gt;A372)*1)+1</f>
        <v>123</v>
      </c>
      <c r="J372" s="43" t="str">
        <f aca="false">IF(G372=Supporto!$J$4,SUMPRODUCT(($G$2:$G$494=Supporto!$J$4)*($A$2:$A$494&gt;A372))+1,"")</f>
        <v/>
      </c>
    </row>
    <row r="373" customFormat="false" ht="15" hidden="false" customHeight="false" outlineLevel="0" collapsed="false">
      <c r="A373" s="39" t="n">
        <v>46155.3520833333</v>
      </c>
      <c r="B373" s="40" t="s">
        <v>29</v>
      </c>
      <c r="C373" s="41" t="s">
        <v>27</v>
      </c>
      <c r="D373" s="42" t="n">
        <v>97.4</v>
      </c>
      <c r="E373" s="43" t="n">
        <f aca="false">YEAR(A373)</f>
        <v>2026</v>
      </c>
      <c r="F373" s="43" t="n">
        <f aca="false">MONTH(A373)</f>
        <v>5</v>
      </c>
      <c r="G373" s="43" t="n">
        <f aca="false">E373*100+F373</f>
        <v>202605</v>
      </c>
      <c r="H373" s="43" t="str">
        <f aca="false">CHOOSE(F373,"Gen","Feb","Mar","Apr","Mag","Giu","Lug","Ago","Set","Ott","Nov","Dic")&amp;" "&amp;E373</f>
        <v>Mag 2026</v>
      </c>
      <c r="I373" s="43" t="n">
        <f aca="false">SUMPRODUCT(($A$2:$A$494&gt;A373)*1)+1</f>
        <v>122</v>
      </c>
      <c r="J373" s="43" t="str">
        <f aca="false">IF(G373=Supporto!$J$4,SUMPRODUCT(($G$2:$G$494=Supporto!$J$4)*($A$2:$A$494&gt;A373))+1,"")</f>
        <v/>
      </c>
    </row>
    <row r="374" customFormat="false" ht="15" hidden="false" customHeight="false" outlineLevel="0" collapsed="false">
      <c r="A374" s="39" t="n">
        <v>46156.8229166667</v>
      </c>
      <c r="B374" s="40" t="s">
        <v>29</v>
      </c>
      <c r="C374" s="41" t="s">
        <v>27</v>
      </c>
      <c r="D374" s="42" t="n">
        <v>187.58</v>
      </c>
      <c r="E374" s="43" t="n">
        <f aca="false">YEAR(A374)</f>
        <v>2026</v>
      </c>
      <c r="F374" s="43" t="n">
        <f aca="false">MONTH(A374)</f>
        <v>5</v>
      </c>
      <c r="G374" s="43" t="n">
        <f aca="false">E374*100+F374</f>
        <v>202605</v>
      </c>
      <c r="H374" s="43" t="str">
        <f aca="false">CHOOSE(F374,"Gen","Feb","Mar","Apr","Mag","Giu","Lug","Ago","Set","Ott","Nov","Dic")&amp;" "&amp;E374</f>
        <v>Mag 2026</v>
      </c>
      <c r="I374" s="43" t="n">
        <f aca="false">SUMPRODUCT(($A$2:$A$494&gt;A374)*1)+1</f>
        <v>121</v>
      </c>
      <c r="J374" s="43" t="str">
        <f aca="false">IF(G374=Supporto!$J$4,SUMPRODUCT(($G$2:$G$494=Supporto!$J$4)*($A$2:$A$494&gt;A374))+1,"")</f>
        <v/>
      </c>
    </row>
    <row r="375" customFormat="false" ht="15" hidden="false" customHeight="false" outlineLevel="0" collapsed="false">
      <c r="A375" s="39" t="n">
        <v>46157.3958333333</v>
      </c>
      <c r="B375" s="40" t="s">
        <v>30</v>
      </c>
      <c r="C375" s="41" t="s">
        <v>27</v>
      </c>
      <c r="D375" s="42" t="n">
        <v>44.97</v>
      </c>
      <c r="E375" s="43" t="n">
        <f aca="false">YEAR(A375)</f>
        <v>2026</v>
      </c>
      <c r="F375" s="43" t="n">
        <f aca="false">MONTH(A375)</f>
        <v>5</v>
      </c>
      <c r="G375" s="43" t="n">
        <f aca="false">E375*100+F375</f>
        <v>202605</v>
      </c>
      <c r="H375" s="43" t="str">
        <f aca="false">CHOOSE(F375,"Gen","Feb","Mar","Apr","Mag","Giu","Lug","Ago","Set","Ott","Nov","Dic")&amp;" "&amp;E375</f>
        <v>Mag 2026</v>
      </c>
      <c r="I375" s="43" t="n">
        <f aca="false">SUMPRODUCT(($A$2:$A$494&gt;A375)*1)+1</f>
        <v>120</v>
      </c>
      <c r="J375" s="43" t="str">
        <f aca="false">IF(G375=Supporto!$J$4,SUMPRODUCT(($G$2:$G$494=Supporto!$J$4)*($A$2:$A$494&gt;A375))+1,"")</f>
        <v/>
      </c>
    </row>
    <row r="376" customFormat="false" ht="15" hidden="false" customHeight="false" outlineLevel="0" collapsed="false">
      <c r="A376" s="39" t="n">
        <v>46157.5555555556</v>
      </c>
      <c r="B376" s="40" t="s">
        <v>36</v>
      </c>
      <c r="C376" s="41" t="s">
        <v>27</v>
      </c>
      <c r="D376" s="42" t="n">
        <v>82.23</v>
      </c>
      <c r="E376" s="43" t="n">
        <f aca="false">YEAR(A376)</f>
        <v>2026</v>
      </c>
      <c r="F376" s="43" t="n">
        <f aca="false">MONTH(A376)</f>
        <v>5</v>
      </c>
      <c r="G376" s="43" t="n">
        <f aca="false">E376*100+F376</f>
        <v>202605</v>
      </c>
      <c r="H376" s="43" t="str">
        <f aca="false">CHOOSE(F376,"Gen","Feb","Mar","Apr","Mag","Giu","Lug","Ago","Set","Ott","Nov","Dic")&amp;" "&amp;E376</f>
        <v>Mag 2026</v>
      </c>
      <c r="I376" s="43" t="n">
        <f aca="false">SUMPRODUCT(($A$2:$A$494&gt;A376)*1)+1</f>
        <v>119</v>
      </c>
      <c r="J376" s="43" t="str">
        <f aca="false">IF(G376=Supporto!$J$4,SUMPRODUCT(($G$2:$G$494=Supporto!$J$4)*($A$2:$A$494&gt;A376))+1,"")</f>
        <v/>
      </c>
    </row>
    <row r="377" customFormat="false" ht="15" hidden="false" customHeight="false" outlineLevel="0" collapsed="false">
      <c r="A377" s="39" t="n">
        <v>46157.7013888889</v>
      </c>
      <c r="B377" s="40" t="s">
        <v>30</v>
      </c>
      <c r="C377" s="41" t="s">
        <v>27</v>
      </c>
      <c r="D377" s="42" t="n">
        <v>3</v>
      </c>
      <c r="E377" s="43" t="n">
        <f aca="false">YEAR(A377)</f>
        <v>2026</v>
      </c>
      <c r="F377" s="43" t="n">
        <f aca="false">MONTH(A377)</f>
        <v>5</v>
      </c>
      <c r="G377" s="43" t="n">
        <f aca="false">E377*100+F377</f>
        <v>202605</v>
      </c>
      <c r="H377" s="43" t="str">
        <f aca="false">CHOOSE(F377,"Gen","Feb","Mar","Apr","Mag","Giu","Lug","Ago","Set","Ott","Nov","Dic")&amp;" "&amp;E377</f>
        <v>Mag 2026</v>
      </c>
      <c r="I377" s="43" t="n">
        <f aca="false">SUMPRODUCT(($A$2:$A$494&gt;A377)*1)+1</f>
        <v>118</v>
      </c>
      <c r="J377" s="43" t="str">
        <f aca="false">IF(G377=Supporto!$J$4,SUMPRODUCT(($G$2:$G$494=Supporto!$J$4)*($A$2:$A$494&gt;A377))+1,"")</f>
        <v/>
      </c>
    </row>
    <row r="378" customFormat="false" ht="15" hidden="false" customHeight="false" outlineLevel="0" collapsed="false">
      <c r="A378" s="39" t="n">
        <v>46159.3923611111</v>
      </c>
      <c r="B378" s="40" t="s">
        <v>34</v>
      </c>
      <c r="C378" s="41" t="s">
        <v>27</v>
      </c>
      <c r="D378" s="42" t="n">
        <v>31.46</v>
      </c>
      <c r="E378" s="43" t="n">
        <f aca="false">YEAR(A378)</f>
        <v>2026</v>
      </c>
      <c r="F378" s="43" t="n">
        <f aca="false">MONTH(A378)</f>
        <v>5</v>
      </c>
      <c r="G378" s="43" t="n">
        <f aca="false">E378*100+F378</f>
        <v>202605</v>
      </c>
      <c r="H378" s="43" t="str">
        <f aca="false">CHOOSE(F378,"Gen","Feb","Mar","Apr","Mag","Giu","Lug","Ago","Set","Ott","Nov","Dic")&amp;" "&amp;E378</f>
        <v>Mag 2026</v>
      </c>
      <c r="I378" s="43" t="n">
        <f aca="false">SUMPRODUCT(($A$2:$A$494&gt;A378)*1)+1</f>
        <v>117</v>
      </c>
      <c r="J378" s="43" t="str">
        <f aca="false">IF(G378=Supporto!$J$4,SUMPRODUCT(($G$2:$G$494=Supporto!$J$4)*($A$2:$A$494&gt;A378))+1,"")</f>
        <v/>
      </c>
    </row>
    <row r="379" customFormat="false" ht="15" hidden="false" customHeight="false" outlineLevel="0" collapsed="false">
      <c r="A379" s="39" t="n">
        <v>46159.7527777778</v>
      </c>
      <c r="B379" s="40" t="s">
        <v>29</v>
      </c>
      <c r="C379" s="41" t="s">
        <v>27</v>
      </c>
      <c r="D379" s="42" t="n">
        <v>4.48</v>
      </c>
      <c r="E379" s="43" t="n">
        <f aca="false">YEAR(A379)</f>
        <v>2026</v>
      </c>
      <c r="F379" s="43" t="n">
        <f aca="false">MONTH(A379)</f>
        <v>5</v>
      </c>
      <c r="G379" s="43" t="n">
        <f aca="false">E379*100+F379</f>
        <v>202605</v>
      </c>
      <c r="H379" s="43" t="str">
        <f aca="false">CHOOSE(F379,"Gen","Feb","Mar","Apr","Mag","Giu","Lug","Ago","Set","Ott","Nov","Dic")&amp;" "&amp;E379</f>
        <v>Mag 2026</v>
      </c>
      <c r="I379" s="43" t="n">
        <f aca="false">SUMPRODUCT(($A$2:$A$494&gt;A379)*1)+1</f>
        <v>116</v>
      </c>
      <c r="J379" s="43" t="str">
        <f aca="false">IF(G379=Supporto!$J$4,SUMPRODUCT(($G$2:$G$494=Supporto!$J$4)*($A$2:$A$494&gt;A379))+1,"")</f>
        <v/>
      </c>
    </row>
    <row r="380" customFormat="false" ht="15" hidden="false" customHeight="false" outlineLevel="0" collapsed="false">
      <c r="A380" s="39" t="n">
        <v>46162.7708333333</v>
      </c>
      <c r="B380" s="40" t="s">
        <v>31</v>
      </c>
      <c r="C380" s="41" t="s">
        <v>32</v>
      </c>
      <c r="D380" s="42" t="n">
        <v>37.12</v>
      </c>
      <c r="E380" s="43" t="n">
        <f aca="false">YEAR(A380)</f>
        <v>2026</v>
      </c>
      <c r="F380" s="43" t="n">
        <f aca="false">MONTH(A380)</f>
        <v>5</v>
      </c>
      <c r="G380" s="43" t="n">
        <f aca="false">E380*100+F380</f>
        <v>202605</v>
      </c>
      <c r="H380" s="43" t="str">
        <f aca="false">CHOOSE(F380,"Gen","Feb","Mar","Apr","Mag","Giu","Lug","Ago","Set","Ott","Nov","Dic")&amp;" "&amp;E380</f>
        <v>Mag 2026</v>
      </c>
      <c r="I380" s="43" t="n">
        <f aca="false">SUMPRODUCT(($A$2:$A$494&gt;A380)*1)+1</f>
        <v>115</v>
      </c>
      <c r="J380" s="43" t="str">
        <f aca="false">IF(G380=Supporto!$J$4,SUMPRODUCT(($G$2:$G$494=Supporto!$J$4)*($A$2:$A$494&gt;A380))+1,"")</f>
        <v/>
      </c>
    </row>
    <row r="381" customFormat="false" ht="15" hidden="false" customHeight="false" outlineLevel="0" collapsed="false">
      <c r="A381" s="39" t="n">
        <v>46162.8118055556</v>
      </c>
      <c r="B381" s="40" t="s">
        <v>38</v>
      </c>
      <c r="C381" s="41" t="s">
        <v>27</v>
      </c>
      <c r="D381" s="42" t="n">
        <v>81.48</v>
      </c>
      <c r="E381" s="43" t="n">
        <f aca="false">YEAR(A381)</f>
        <v>2026</v>
      </c>
      <c r="F381" s="43" t="n">
        <f aca="false">MONTH(A381)</f>
        <v>5</v>
      </c>
      <c r="G381" s="43" t="n">
        <f aca="false">E381*100+F381</f>
        <v>202605</v>
      </c>
      <c r="H381" s="43" t="str">
        <f aca="false">CHOOSE(F381,"Gen","Feb","Mar","Apr","Mag","Giu","Lug","Ago","Set","Ott","Nov","Dic")&amp;" "&amp;E381</f>
        <v>Mag 2026</v>
      </c>
      <c r="I381" s="43" t="n">
        <f aca="false">SUMPRODUCT(($A$2:$A$494&gt;A381)*1)+1</f>
        <v>114</v>
      </c>
      <c r="J381" s="43" t="str">
        <f aca="false">IF(G381=Supporto!$J$4,SUMPRODUCT(($G$2:$G$494=Supporto!$J$4)*($A$2:$A$494&gt;A381))+1,"")</f>
        <v/>
      </c>
    </row>
    <row r="382" customFormat="false" ht="15" hidden="false" customHeight="false" outlineLevel="0" collapsed="false">
      <c r="A382" s="39" t="n">
        <v>46162.9118055556</v>
      </c>
      <c r="B382" s="40" t="s">
        <v>28</v>
      </c>
      <c r="C382" s="41" t="s">
        <v>27</v>
      </c>
      <c r="D382" s="42" t="n">
        <v>755.84</v>
      </c>
      <c r="E382" s="43" t="n">
        <f aca="false">YEAR(A382)</f>
        <v>2026</v>
      </c>
      <c r="F382" s="43" t="n">
        <f aca="false">MONTH(A382)</f>
        <v>5</v>
      </c>
      <c r="G382" s="43" t="n">
        <f aca="false">E382*100+F382</f>
        <v>202605</v>
      </c>
      <c r="H382" s="43" t="str">
        <f aca="false">CHOOSE(F382,"Gen","Feb","Mar","Apr","Mag","Giu","Lug","Ago","Set","Ott","Nov","Dic")&amp;" "&amp;E382</f>
        <v>Mag 2026</v>
      </c>
      <c r="I382" s="43" t="n">
        <f aca="false">SUMPRODUCT(($A$2:$A$494&gt;A382)*1)+1</f>
        <v>113</v>
      </c>
      <c r="J382" s="43" t="str">
        <f aca="false">IF(G382=Supporto!$J$4,SUMPRODUCT(($G$2:$G$494=Supporto!$J$4)*($A$2:$A$494&gt;A382))+1,"")</f>
        <v/>
      </c>
    </row>
    <row r="383" customFormat="false" ht="15" hidden="false" customHeight="false" outlineLevel="0" collapsed="false">
      <c r="A383" s="39" t="n">
        <v>46163.8458333333</v>
      </c>
      <c r="B383" s="40" t="s">
        <v>29</v>
      </c>
      <c r="C383" s="41" t="s">
        <v>27</v>
      </c>
      <c r="D383" s="42" t="n">
        <v>25.13</v>
      </c>
      <c r="E383" s="43" t="n">
        <f aca="false">YEAR(A383)</f>
        <v>2026</v>
      </c>
      <c r="F383" s="43" t="n">
        <f aca="false">MONTH(A383)</f>
        <v>5</v>
      </c>
      <c r="G383" s="43" t="n">
        <f aca="false">E383*100+F383</f>
        <v>202605</v>
      </c>
      <c r="H383" s="43" t="str">
        <f aca="false">CHOOSE(F383,"Gen","Feb","Mar","Apr","Mag","Giu","Lug","Ago","Set","Ott","Nov","Dic")&amp;" "&amp;E383</f>
        <v>Mag 2026</v>
      </c>
      <c r="I383" s="43" t="n">
        <f aca="false">SUMPRODUCT(($A$2:$A$494&gt;A383)*1)+1</f>
        <v>112</v>
      </c>
      <c r="J383" s="43" t="str">
        <f aca="false">IF(G383=Supporto!$J$4,SUMPRODUCT(($G$2:$G$494=Supporto!$J$4)*($A$2:$A$494&gt;A383))+1,"")</f>
        <v/>
      </c>
    </row>
    <row r="384" customFormat="false" ht="15" hidden="false" customHeight="false" outlineLevel="0" collapsed="false">
      <c r="A384" s="39" t="n">
        <v>46165.7534722222</v>
      </c>
      <c r="B384" s="40" t="s">
        <v>28</v>
      </c>
      <c r="C384" s="41" t="s">
        <v>27</v>
      </c>
      <c r="D384" s="42" t="n">
        <v>187.4</v>
      </c>
      <c r="E384" s="43" t="n">
        <f aca="false">YEAR(A384)</f>
        <v>2026</v>
      </c>
      <c r="F384" s="43" t="n">
        <f aca="false">MONTH(A384)</f>
        <v>5</v>
      </c>
      <c r="G384" s="43" t="n">
        <f aca="false">E384*100+F384</f>
        <v>202605</v>
      </c>
      <c r="H384" s="43" t="str">
        <f aca="false">CHOOSE(F384,"Gen","Feb","Mar","Apr","Mag","Giu","Lug","Ago","Set","Ott","Nov","Dic")&amp;" "&amp;E384</f>
        <v>Mag 2026</v>
      </c>
      <c r="I384" s="43" t="n">
        <f aca="false">SUMPRODUCT(($A$2:$A$494&gt;A384)*1)+1</f>
        <v>111</v>
      </c>
      <c r="J384" s="43" t="str">
        <f aca="false">IF(G384=Supporto!$J$4,SUMPRODUCT(($G$2:$G$494=Supporto!$J$4)*($A$2:$A$494&gt;A384))+1,"")</f>
        <v/>
      </c>
    </row>
    <row r="385" customFormat="false" ht="15" hidden="false" customHeight="false" outlineLevel="0" collapsed="false">
      <c r="A385" s="39" t="n">
        <v>46166.46875</v>
      </c>
      <c r="B385" s="40" t="s">
        <v>26</v>
      </c>
      <c r="C385" s="41" t="s">
        <v>27</v>
      </c>
      <c r="D385" s="42" t="n">
        <v>74.86</v>
      </c>
      <c r="E385" s="43" t="n">
        <f aca="false">YEAR(A385)</f>
        <v>2026</v>
      </c>
      <c r="F385" s="43" t="n">
        <f aca="false">MONTH(A385)</f>
        <v>5</v>
      </c>
      <c r="G385" s="43" t="n">
        <f aca="false">E385*100+F385</f>
        <v>202605</v>
      </c>
      <c r="H385" s="43" t="str">
        <f aca="false">CHOOSE(F385,"Gen","Feb","Mar","Apr","Mag","Giu","Lug","Ago","Set","Ott","Nov","Dic")&amp;" "&amp;E385</f>
        <v>Mag 2026</v>
      </c>
      <c r="I385" s="43" t="n">
        <f aca="false">SUMPRODUCT(($A$2:$A$494&gt;A385)*1)+1</f>
        <v>110</v>
      </c>
      <c r="J385" s="43" t="str">
        <f aca="false">IF(G385=Supporto!$J$4,SUMPRODUCT(($G$2:$G$494=Supporto!$J$4)*($A$2:$A$494&gt;A385))+1,"")</f>
        <v/>
      </c>
    </row>
    <row r="386" customFormat="false" ht="15" hidden="false" customHeight="false" outlineLevel="0" collapsed="false">
      <c r="A386" s="39" t="n">
        <v>46167.7652777778</v>
      </c>
      <c r="B386" s="40" t="s">
        <v>26</v>
      </c>
      <c r="C386" s="41" t="s">
        <v>27</v>
      </c>
      <c r="D386" s="42" t="n">
        <v>21.56</v>
      </c>
      <c r="E386" s="43" t="n">
        <f aca="false">YEAR(A386)</f>
        <v>2026</v>
      </c>
      <c r="F386" s="43" t="n">
        <f aca="false">MONTH(A386)</f>
        <v>5</v>
      </c>
      <c r="G386" s="43" t="n">
        <f aca="false">E386*100+F386</f>
        <v>202605</v>
      </c>
      <c r="H386" s="43" t="str">
        <f aca="false">CHOOSE(F386,"Gen","Feb","Mar","Apr","Mag","Giu","Lug","Ago","Set","Ott","Nov","Dic")&amp;" "&amp;E386</f>
        <v>Mag 2026</v>
      </c>
      <c r="I386" s="43" t="n">
        <f aca="false">SUMPRODUCT(($A$2:$A$494&gt;A386)*1)+1</f>
        <v>109</v>
      </c>
      <c r="J386" s="43" t="str">
        <f aca="false">IF(G386=Supporto!$J$4,SUMPRODUCT(($G$2:$G$494=Supporto!$J$4)*($A$2:$A$494&gt;A386))+1,"")</f>
        <v/>
      </c>
    </row>
    <row r="387" customFormat="false" ht="15" hidden="false" customHeight="false" outlineLevel="0" collapsed="false">
      <c r="A387" s="39" t="n">
        <v>46167.9048611111</v>
      </c>
      <c r="B387" s="40" t="s">
        <v>33</v>
      </c>
      <c r="C387" s="41" t="s">
        <v>27</v>
      </c>
      <c r="D387" s="42" t="n">
        <v>45.49</v>
      </c>
      <c r="E387" s="43" t="n">
        <f aca="false">YEAR(A387)</f>
        <v>2026</v>
      </c>
      <c r="F387" s="43" t="n">
        <f aca="false">MONTH(A387)</f>
        <v>5</v>
      </c>
      <c r="G387" s="43" t="n">
        <f aca="false">E387*100+F387</f>
        <v>202605</v>
      </c>
      <c r="H387" s="43" t="str">
        <f aca="false">CHOOSE(F387,"Gen","Feb","Mar","Apr","Mag","Giu","Lug","Ago","Set","Ott","Nov","Dic")&amp;" "&amp;E387</f>
        <v>Mag 2026</v>
      </c>
      <c r="I387" s="43" t="n">
        <f aca="false">SUMPRODUCT(($A$2:$A$494&gt;A387)*1)+1</f>
        <v>108</v>
      </c>
      <c r="J387" s="43" t="str">
        <f aca="false">IF(G387=Supporto!$J$4,SUMPRODUCT(($G$2:$G$494=Supporto!$J$4)*($A$2:$A$494&gt;A387))+1,"")</f>
        <v/>
      </c>
    </row>
    <row r="388" customFormat="false" ht="15" hidden="false" customHeight="false" outlineLevel="0" collapsed="false">
      <c r="A388" s="39" t="n">
        <v>46167.9368055556</v>
      </c>
      <c r="B388" s="40" t="s">
        <v>33</v>
      </c>
      <c r="C388" s="41" t="s">
        <v>27</v>
      </c>
      <c r="D388" s="42" t="n">
        <v>9.79</v>
      </c>
      <c r="E388" s="43" t="n">
        <f aca="false">YEAR(A388)</f>
        <v>2026</v>
      </c>
      <c r="F388" s="43" t="n">
        <f aca="false">MONTH(A388)</f>
        <v>5</v>
      </c>
      <c r="G388" s="43" t="n">
        <f aca="false">E388*100+F388</f>
        <v>202605</v>
      </c>
      <c r="H388" s="43" t="str">
        <f aca="false">CHOOSE(F388,"Gen","Feb","Mar","Apr","Mag","Giu","Lug","Ago","Set","Ott","Nov","Dic")&amp;" "&amp;E388</f>
        <v>Mag 2026</v>
      </c>
      <c r="I388" s="43" t="n">
        <f aca="false">SUMPRODUCT(($A$2:$A$494&gt;A388)*1)+1</f>
        <v>107</v>
      </c>
      <c r="J388" s="43" t="str">
        <f aca="false">IF(G388=Supporto!$J$4,SUMPRODUCT(($G$2:$G$494=Supporto!$J$4)*($A$2:$A$494&gt;A388))+1,"")</f>
        <v/>
      </c>
    </row>
    <row r="389" customFormat="false" ht="15" hidden="false" customHeight="false" outlineLevel="0" collapsed="false">
      <c r="A389" s="39" t="n">
        <v>46169.375</v>
      </c>
      <c r="B389" s="40" t="s">
        <v>40</v>
      </c>
      <c r="C389" s="41" t="s">
        <v>32</v>
      </c>
      <c r="D389" s="42" t="n">
        <v>2383.43</v>
      </c>
      <c r="E389" s="43" t="n">
        <f aca="false">YEAR(A389)</f>
        <v>2026</v>
      </c>
      <c r="F389" s="43" t="n">
        <f aca="false">MONTH(A389)</f>
        <v>5</v>
      </c>
      <c r="G389" s="43" t="n">
        <f aca="false">E389*100+F389</f>
        <v>202605</v>
      </c>
      <c r="H389" s="43" t="str">
        <f aca="false">CHOOSE(F389,"Gen","Feb","Mar","Apr","Mag","Giu","Lug","Ago","Set","Ott","Nov","Dic")&amp;" "&amp;E389</f>
        <v>Mag 2026</v>
      </c>
      <c r="I389" s="43" t="n">
        <f aca="false">SUMPRODUCT(($A$2:$A$494&gt;A389)*1)+1</f>
        <v>106</v>
      </c>
      <c r="J389" s="43" t="str">
        <f aca="false">IF(G389=Supporto!$J$4,SUMPRODUCT(($G$2:$G$494=Supporto!$J$4)*($A$2:$A$494&gt;A389))+1,"")</f>
        <v/>
      </c>
    </row>
    <row r="390" customFormat="false" ht="15" hidden="false" customHeight="false" outlineLevel="0" collapsed="false">
      <c r="A390" s="39" t="n">
        <v>46169.3784722222</v>
      </c>
      <c r="B390" s="40" t="s">
        <v>41</v>
      </c>
      <c r="C390" s="41" t="s">
        <v>32</v>
      </c>
      <c r="D390" s="42" t="n">
        <v>1859.08</v>
      </c>
      <c r="E390" s="43" t="n">
        <f aca="false">YEAR(A390)</f>
        <v>2026</v>
      </c>
      <c r="F390" s="43" t="n">
        <f aca="false">MONTH(A390)</f>
        <v>5</v>
      </c>
      <c r="G390" s="43" t="n">
        <f aca="false">E390*100+F390</f>
        <v>202605</v>
      </c>
      <c r="H390" s="43" t="str">
        <f aca="false">CHOOSE(F390,"Gen","Feb","Mar","Apr","Mag","Giu","Lug","Ago","Set","Ott","Nov","Dic")&amp;" "&amp;E390</f>
        <v>Mag 2026</v>
      </c>
      <c r="I390" s="43" t="n">
        <f aca="false">SUMPRODUCT(($A$2:$A$494&gt;A390)*1)+1</f>
        <v>105</v>
      </c>
      <c r="J390" s="43" t="str">
        <f aca="false">IF(G390=Supporto!$J$4,SUMPRODUCT(($G$2:$G$494=Supporto!$J$4)*($A$2:$A$494&gt;A390))+1,"")</f>
        <v/>
      </c>
    </row>
    <row r="391" customFormat="false" ht="15" hidden="false" customHeight="false" outlineLevel="0" collapsed="false">
      <c r="A391" s="39" t="n">
        <v>46170.6993055556</v>
      </c>
      <c r="B391" s="40" t="s">
        <v>34</v>
      </c>
      <c r="C391" s="41" t="s">
        <v>27</v>
      </c>
      <c r="D391" s="42" t="n">
        <v>44.68</v>
      </c>
      <c r="E391" s="43" t="n">
        <f aca="false">YEAR(A391)</f>
        <v>2026</v>
      </c>
      <c r="F391" s="43" t="n">
        <f aca="false">MONTH(A391)</f>
        <v>5</v>
      </c>
      <c r="G391" s="43" t="n">
        <f aca="false">E391*100+F391</f>
        <v>202605</v>
      </c>
      <c r="H391" s="43" t="str">
        <f aca="false">CHOOSE(F391,"Gen","Feb","Mar","Apr","Mag","Giu","Lug","Ago","Set","Ott","Nov","Dic")&amp;" "&amp;E391</f>
        <v>Mag 2026</v>
      </c>
      <c r="I391" s="43" t="n">
        <f aca="false">SUMPRODUCT(($A$2:$A$494&gt;A391)*1)+1</f>
        <v>104</v>
      </c>
      <c r="J391" s="43" t="str">
        <f aca="false">IF(G391=Supporto!$J$4,SUMPRODUCT(($G$2:$G$494=Supporto!$J$4)*($A$2:$A$494&gt;A391))+1,"")</f>
        <v/>
      </c>
    </row>
    <row r="392" customFormat="false" ht="15" hidden="false" customHeight="false" outlineLevel="0" collapsed="false">
      <c r="A392" s="39" t="n">
        <v>46176.4986111111</v>
      </c>
      <c r="B392" s="40" t="s">
        <v>28</v>
      </c>
      <c r="C392" s="41" t="s">
        <v>27</v>
      </c>
      <c r="D392" s="42" t="n">
        <v>321.67</v>
      </c>
      <c r="E392" s="43" t="n">
        <f aca="false">YEAR(A392)</f>
        <v>2026</v>
      </c>
      <c r="F392" s="43" t="n">
        <f aca="false">MONTH(A392)</f>
        <v>6</v>
      </c>
      <c r="G392" s="43" t="n">
        <f aca="false">E392*100+F392</f>
        <v>202606</v>
      </c>
      <c r="H392" s="43" t="str">
        <f aca="false">CHOOSE(F392,"Gen","Feb","Mar","Apr","Mag","Giu","Lug","Ago","Set","Ott","Nov","Dic")&amp;" "&amp;E392</f>
        <v>Giu 2026</v>
      </c>
      <c r="I392" s="43" t="n">
        <f aca="false">SUMPRODUCT(($A$2:$A$494&gt;A392)*1)+1</f>
        <v>103</v>
      </c>
      <c r="J392" s="43" t="str">
        <f aca="false">IF(G392=Supporto!$J$4,SUMPRODUCT(($G$2:$G$494=Supporto!$J$4)*($A$2:$A$494&gt;A392))+1,"")</f>
        <v/>
      </c>
    </row>
    <row r="393" customFormat="false" ht="15" hidden="false" customHeight="false" outlineLevel="0" collapsed="false">
      <c r="A393" s="39" t="n">
        <v>46176.6194444444</v>
      </c>
      <c r="B393" s="40" t="s">
        <v>38</v>
      </c>
      <c r="C393" s="41" t="s">
        <v>27</v>
      </c>
      <c r="D393" s="42" t="n">
        <v>90.53</v>
      </c>
      <c r="E393" s="43" t="n">
        <f aca="false">YEAR(A393)</f>
        <v>2026</v>
      </c>
      <c r="F393" s="43" t="n">
        <f aca="false">MONTH(A393)</f>
        <v>6</v>
      </c>
      <c r="G393" s="43" t="n">
        <f aca="false">E393*100+F393</f>
        <v>202606</v>
      </c>
      <c r="H393" s="43" t="str">
        <f aca="false">CHOOSE(F393,"Gen","Feb","Mar","Apr","Mag","Giu","Lug","Ago","Set","Ott","Nov","Dic")&amp;" "&amp;E393</f>
        <v>Giu 2026</v>
      </c>
      <c r="I393" s="43" t="n">
        <f aca="false">SUMPRODUCT(($A$2:$A$494&gt;A393)*1)+1</f>
        <v>102</v>
      </c>
      <c r="J393" s="43" t="str">
        <f aca="false">IF(G393=Supporto!$J$4,SUMPRODUCT(($G$2:$G$494=Supporto!$J$4)*($A$2:$A$494&gt;A393))+1,"")</f>
        <v/>
      </c>
    </row>
    <row r="394" customFormat="false" ht="15" hidden="false" customHeight="false" outlineLevel="0" collapsed="false">
      <c r="A394" s="39" t="n">
        <v>46178.4034722222</v>
      </c>
      <c r="B394" s="40" t="s">
        <v>34</v>
      </c>
      <c r="C394" s="41" t="s">
        <v>27</v>
      </c>
      <c r="D394" s="42" t="n">
        <v>9.63</v>
      </c>
      <c r="E394" s="43" t="n">
        <f aca="false">YEAR(A394)</f>
        <v>2026</v>
      </c>
      <c r="F394" s="43" t="n">
        <f aca="false">MONTH(A394)</f>
        <v>6</v>
      </c>
      <c r="G394" s="43" t="n">
        <f aca="false">E394*100+F394</f>
        <v>202606</v>
      </c>
      <c r="H394" s="43" t="str">
        <f aca="false">CHOOSE(F394,"Gen","Feb","Mar","Apr","Mag","Giu","Lug","Ago","Set","Ott","Nov","Dic")&amp;" "&amp;E394</f>
        <v>Giu 2026</v>
      </c>
      <c r="I394" s="43" t="n">
        <f aca="false">SUMPRODUCT(($A$2:$A$494&gt;A394)*1)+1</f>
        <v>101</v>
      </c>
      <c r="J394" s="43" t="str">
        <f aca="false">IF(G394=Supporto!$J$4,SUMPRODUCT(($G$2:$G$494=Supporto!$J$4)*($A$2:$A$494&gt;A394))+1,"")</f>
        <v/>
      </c>
    </row>
    <row r="395" customFormat="false" ht="15" hidden="false" customHeight="false" outlineLevel="0" collapsed="false">
      <c r="A395" s="39" t="n">
        <v>46178.4611111111</v>
      </c>
      <c r="B395" s="40" t="s">
        <v>26</v>
      </c>
      <c r="C395" s="41" t="s">
        <v>27</v>
      </c>
      <c r="D395" s="42" t="n">
        <v>25.09</v>
      </c>
      <c r="E395" s="43" t="n">
        <f aca="false">YEAR(A395)</f>
        <v>2026</v>
      </c>
      <c r="F395" s="43" t="n">
        <f aca="false">MONTH(A395)</f>
        <v>6</v>
      </c>
      <c r="G395" s="43" t="n">
        <f aca="false">E395*100+F395</f>
        <v>202606</v>
      </c>
      <c r="H395" s="43" t="str">
        <f aca="false">CHOOSE(F395,"Gen","Feb","Mar","Apr","Mag","Giu","Lug","Ago","Set","Ott","Nov","Dic")&amp;" "&amp;E395</f>
        <v>Giu 2026</v>
      </c>
      <c r="I395" s="43" t="n">
        <f aca="false">SUMPRODUCT(($A$2:$A$494&gt;A395)*1)+1</f>
        <v>100</v>
      </c>
      <c r="J395" s="43" t="str">
        <f aca="false">IF(G395=Supporto!$J$4,SUMPRODUCT(($G$2:$G$494=Supporto!$J$4)*($A$2:$A$494&gt;A395))+1,"")</f>
        <v/>
      </c>
    </row>
    <row r="396" customFormat="false" ht="15" hidden="false" customHeight="false" outlineLevel="0" collapsed="false">
      <c r="A396" s="39" t="n">
        <v>46179.5319444445</v>
      </c>
      <c r="B396" s="40" t="s">
        <v>26</v>
      </c>
      <c r="C396" s="41" t="s">
        <v>27</v>
      </c>
      <c r="D396" s="42" t="n">
        <v>6.38</v>
      </c>
      <c r="E396" s="43" t="n">
        <f aca="false">YEAR(A396)</f>
        <v>2026</v>
      </c>
      <c r="F396" s="43" t="n">
        <f aca="false">MONTH(A396)</f>
        <v>6</v>
      </c>
      <c r="G396" s="43" t="n">
        <f aca="false">E396*100+F396</f>
        <v>202606</v>
      </c>
      <c r="H396" s="43" t="str">
        <f aca="false">CHOOSE(F396,"Gen","Feb","Mar","Apr","Mag","Giu","Lug","Ago","Set","Ott","Nov","Dic")&amp;" "&amp;E396</f>
        <v>Giu 2026</v>
      </c>
      <c r="I396" s="43" t="n">
        <f aca="false">SUMPRODUCT(($A$2:$A$494&gt;A396)*1)+1</f>
        <v>99</v>
      </c>
      <c r="J396" s="43" t="str">
        <f aca="false">IF(G396=Supporto!$J$4,SUMPRODUCT(($G$2:$G$494=Supporto!$J$4)*($A$2:$A$494&gt;A396))+1,"")</f>
        <v/>
      </c>
    </row>
    <row r="397" customFormat="false" ht="15" hidden="false" customHeight="false" outlineLevel="0" collapsed="false">
      <c r="A397" s="39" t="n">
        <v>46180.4965277778</v>
      </c>
      <c r="B397" s="40" t="s">
        <v>30</v>
      </c>
      <c r="C397" s="41" t="s">
        <v>27</v>
      </c>
      <c r="D397" s="42" t="n">
        <v>55.84</v>
      </c>
      <c r="E397" s="43" t="n">
        <f aca="false">YEAR(A397)</f>
        <v>2026</v>
      </c>
      <c r="F397" s="43" t="n">
        <f aca="false">MONTH(A397)</f>
        <v>6</v>
      </c>
      <c r="G397" s="43" t="n">
        <f aca="false">E397*100+F397</f>
        <v>202606</v>
      </c>
      <c r="H397" s="43" t="str">
        <f aca="false">CHOOSE(F397,"Gen","Feb","Mar","Apr","Mag","Giu","Lug","Ago","Set","Ott","Nov","Dic")&amp;" "&amp;E397</f>
        <v>Giu 2026</v>
      </c>
      <c r="I397" s="43" t="n">
        <f aca="false">SUMPRODUCT(($A$2:$A$494&gt;A397)*1)+1</f>
        <v>98</v>
      </c>
      <c r="J397" s="43" t="str">
        <f aca="false">IF(G397=Supporto!$J$4,SUMPRODUCT(($G$2:$G$494=Supporto!$J$4)*($A$2:$A$494&gt;A397))+1,"")</f>
        <v/>
      </c>
    </row>
    <row r="398" customFormat="false" ht="15" hidden="false" customHeight="false" outlineLevel="0" collapsed="false">
      <c r="A398" s="39" t="n">
        <v>46181.3055555556</v>
      </c>
      <c r="B398" s="40" t="s">
        <v>36</v>
      </c>
      <c r="C398" s="41" t="s">
        <v>27</v>
      </c>
      <c r="D398" s="42" t="n">
        <v>4.91</v>
      </c>
      <c r="E398" s="43" t="n">
        <f aca="false">YEAR(A398)</f>
        <v>2026</v>
      </c>
      <c r="F398" s="43" t="n">
        <f aca="false">MONTH(A398)</f>
        <v>6</v>
      </c>
      <c r="G398" s="43" t="n">
        <f aca="false">E398*100+F398</f>
        <v>202606</v>
      </c>
      <c r="H398" s="43" t="str">
        <f aca="false">CHOOSE(F398,"Gen","Feb","Mar","Apr","Mag","Giu","Lug","Ago","Set","Ott","Nov","Dic")&amp;" "&amp;E398</f>
        <v>Giu 2026</v>
      </c>
      <c r="I398" s="43" t="n">
        <f aca="false">SUMPRODUCT(($A$2:$A$494&gt;A398)*1)+1</f>
        <v>97</v>
      </c>
      <c r="J398" s="43" t="str">
        <f aca="false">IF(G398=Supporto!$J$4,SUMPRODUCT(($G$2:$G$494=Supporto!$J$4)*($A$2:$A$494&gt;A398))+1,"")</f>
        <v/>
      </c>
    </row>
    <row r="399" customFormat="false" ht="15" hidden="false" customHeight="false" outlineLevel="0" collapsed="false">
      <c r="A399" s="39" t="n">
        <v>46182.9145833333</v>
      </c>
      <c r="B399" s="40" t="s">
        <v>35</v>
      </c>
      <c r="C399" s="41" t="s">
        <v>27</v>
      </c>
      <c r="D399" s="42" t="n">
        <v>31.74</v>
      </c>
      <c r="E399" s="43" t="n">
        <f aca="false">YEAR(A399)</f>
        <v>2026</v>
      </c>
      <c r="F399" s="43" t="n">
        <f aca="false">MONTH(A399)</f>
        <v>6</v>
      </c>
      <c r="G399" s="43" t="n">
        <f aca="false">E399*100+F399</f>
        <v>202606</v>
      </c>
      <c r="H399" s="43" t="str">
        <f aca="false">CHOOSE(F399,"Gen","Feb","Mar","Apr","Mag","Giu","Lug","Ago","Set","Ott","Nov","Dic")&amp;" "&amp;E399</f>
        <v>Giu 2026</v>
      </c>
      <c r="I399" s="43" t="n">
        <f aca="false">SUMPRODUCT(($A$2:$A$494&gt;A399)*1)+1</f>
        <v>96</v>
      </c>
      <c r="J399" s="43" t="str">
        <f aca="false">IF(G399=Supporto!$J$4,SUMPRODUCT(($G$2:$G$494=Supporto!$J$4)*($A$2:$A$494&gt;A399))+1,"")</f>
        <v/>
      </c>
    </row>
    <row r="400" customFormat="false" ht="15" hidden="false" customHeight="false" outlineLevel="0" collapsed="false">
      <c r="A400" s="39" t="n">
        <v>46183.4166666667</v>
      </c>
      <c r="B400" s="40" t="s">
        <v>42</v>
      </c>
      <c r="C400" s="41" t="s">
        <v>32</v>
      </c>
      <c r="D400" s="42" t="n">
        <v>380.21</v>
      </c>
      <c r="E400" s="43" t="n">
        <f aca="false">YEAR(A400)</f>
        <v>2026</v>
      </c>
      <c r="F400" s="43" t="n">
        <f aca="false">MONTH(A400)</f>
        <v>6</v>
      </c>
      <c r="G400" s="43" t="n">
        <f aca="false">E400*100+F400</f>
        <v>202606</v>
      </c>
      <c r="H400" s="43" t="str">
        <f aca="false">CHOOSE(F400,"Gen","Feb","Mar","Apr","Mag","Giu","Lug","Ago","Set","Ott","Nov","Dic")&amp;" "&amp;E400</f>
        <v>Giu 2026</v>
      </c>
      <c r="I400" s="43" t="n">
        <f aca="false">SUMPRODUCT(($A$2:$A$494&gt;A400)*1)+1</f>
        <v>95</v>
      </c>
      <c r="J400" s="43" t="str">
        <f aca="false">IF(G400=Supporto!$J$4,SUMPRODUCT(($G$2:$G$494=Supporto!$J$4)*($A$2:$A$494&gt;A400))+1,"")</f>
        <v/>
      </c>
    </row>
    <row r="401" customFormat="false" ht="15" hidden="false" customHeight="false" outlineLevel="0" collapsed="false">
      <c r="A401" s="39" t="n">
        <v>46183.4388888889</v>
      </c>
      <c r="B401" s="40" t="s">
        <v>26</v>
      </c>
      <c r="C401" s="41" t="s">
        <v>27</v>
      </c>
      <c r="D401" s="42" t="n">
        <v>15.27</v>
      </c>
      <c r="E401" s="43" t="n">
        <f aca="false">YEAR(A401)</f>
        <v>2026</v>
      </c>
      <c r="F401" s="43" t="n">
        <f aca="false">MONTH(A401)</f>
        <v>6</v>
      </c>
      <c r="G401" s="43" t="n">
        <f aca="false">E401*100+F401</f>
        <v>202606</v>
      </c>
      <c r="H401" s="43" t="str">
        <f aca="false">CHOOSE(F401,"Gen","Feb","Mar","Apr","Mag","Giu","Lug","Ago","Set","Ott","Nov","Dic")&amp;" "&amp;E401</f>
        <v>Giu 2026</v>
      </c>
      <c r="I401" s="43" t="n">
        <f aca="false">SUMPRODUCT(($A$2:$A$494&gt;A401)*1)+1</f>
        <v>94</v>
      </c>
      <c r="J401" s="43" t="str">
        <f aca="false">IF(G401=Supporto!$J$4,SUMPRODUCT(($G$2:$G$494=Supporto!$J$4)*($A$2:$A$494&gt;A401))+1,"")</f>
        <v/>
      </c>
    </row>
    <row r="402" customFormat="false" ht="15" hidden="false" customHeight="false" outlineLevel="0" collapsed="false">
      <c r="A402" s="39" t="n">
        <v>46184.4847222222</v>
      </c>
      <c r="B402" s="40" t="s">
        <v>26</v>
      </c>
      <c r="C402" s="41" t="s">
        <v>27</v>
      </c>
      <c r="D402" s="42" t="n">
        <v>55.45</v>
      </c>
      <c r="E402" s="43" t="n">
        <f aca="false">YEAR(A402)</f>
        <v>2026</v>
      </c>
      <c r="F402" s="43" t="n">
        <f aca="false">MONTH(A402)</f>
        <v>6</v>
      </c>
      <c r="G402" s="43" t="n">
        <f aca="false">E402*100+F402</f>
        <v>202606</v>
      </c>
      <c r="H402" s="43" t="str">
        <f aca="false">CHOOSE(F402,"Gen","Feb","Mar","Apr","Mag","Giu","Lug","Ago","Set","Ott","Nov","Dic")&amp;" "&amp;E402</f>
        <v>Giu 2026</v>
      </c>
      <c r="I402" s="43" t="n">
        <f aca="false">SUMPRODUCT(($A$2:$A$494&gt;A402)*1)+1</f>
        <v>93</v>
      </c>
      <c r="J402" s="43" t="str">
        <f aca="false">IF(G402=Supporto!$J$4,SUMPRODUCT(($G$2:$G$494=Supporto!$J$4)*($A$2:$A$494&gt;A402))+1,"")</f>
        <v/>
      </c>
    </row>
    <row r="403" customFormat="false" ht="15" hidden="false" customHeight="false" outlineLevel="0" collapsed="false">
      <c r="A403" s="39" t="n">
        <v>46185.6833333333</v>
      </c>
      <c r="B403" s="40" t="s">
        <v>29</v>
      </c>
      <c r="C403" s="41" t="s">
        <v>27</v>
      </c>
      <c r="D403" s="42" t="n">
        <v>46.39</v>
      </c>
      <c r="E403" s="43" t="n">
        <f aca="false">YEAR(A403)</f>
        <v>2026</v>
      </c>
      <c r="F403" s="43" t="n">
        <f aca="false">MONTH(A403)</f>
        <v>6</v>
      </c>
      <c r="G403" s="43" t="n">
        <f aca="false">E403*100+F403</f>
        <v>202606</v>
      </c>
      <c r="H403" s="43" t="str">
        <f aca="false">CHOOSE(F403,"Gen","Feb","Mar","Apr","Mag","Giu","Lug","Ago","Set","Ott","Nov","Dic")&amp;" "&amp;E403</f>
        <v>Giu 2026</v>
      </c>
      <c r="I403" s="43" t="n">
        <f aca="false">SUMPRODUCT(($A$2:$A$494&gt;A403)*1)+1</f>
        <v>92</v>
      </c>
      <c r="J403" s="43" t="str">
        <f aca="false">IF(G403=Supporto!$J$4,SUMPRODUCT(($G$2:$G$494=Supporto!$J$4)*($A$2:$A$494&gt;A403))+1,"")</f>
        <v/>
      </c>
    </row>
    <row r="404" customFormat="false" ht="15" hidden="false" customHeight="false" outlineLevel="0" collapsed="false">
      <c r="A404" s="39" t="n">
        <v>46185.6951388889</v>
      </c>
      <c r="B404" s="40" t="s">
        <v>28</v>
      </c>
      <c r="C404" s="41" t="s">
        <v>27</v>
      </c>
      <c r="D404" s="42" t="n">
        <v>37.01</v>
      </c>
      <c r="E404" s="43" t="n">
        <f aca="false">YEAR(A404)</f>
        <v>2026</v>
      </c>
      <c r="F404" s="43" t="n">
        <f aca="false">MONTH(A404)</f>
        <v>6</v>
      </c>
      <c r="G404" s="43" t="n">
        <f aca="false">E404*100+F404</f>
        <v>202606</v>
      </c>
      <c r="H404" s="43" t="str">
        <f aca="false">CHOOSE(F404,"Gen","Feb","Mar","Apr","Mag","Giu","Lug","Ago","Set","Ott","Nov","Dic")&amp;" "&amp;E404</f>
        <v>Giu 2026</v>
      </c>
      <c r="I404" s="43" t="n">
        <f aca="false">SUMPRODUCT(($A$2:$A$494&gt;A404)*1)+1</f>
        <v>91</v>
      </c>
      <c r="J404" s="43" t="str">
        <f aca="false">IF(G404=Supporto!$J$4,SUMPRODUCT(($G$2:$G$494=Supporto!$J$4)*($A$2:$A$494&gt;A404))+1,"")</f>
        <v/>
      </c>
    </row>
    <row r="405" customFormat="false" ht="15" hidden="false" customHeight="false" outlineLevel="0" collapsed="false">
      <c r="A405" s="39" t="n">
        <v>46186.3909722222</v>
      </c>
      <c r="B405" s="40" t="s">
        <v>36</v>
      </c>
      <c r="C405" s="41" t="s">
        <v>27</v>
      </c>
      <c r="D405" s="42" t="n">
        <v>36.4</v>
      </c>
      <c r="E405" s="43" t="n">
        <f aca="false">YEAR(A405)</f>
        <v>2026</v>
      </c>
      <c r="F405" s="43" t="n">
        <f aca="false">MONTH(A405)</f>
        <v>6</v>
      </c>
      <c r="G405" s="43" t="n">
        <f aca="false">E405*100+F405</f>
        <v>202606</v>
      </c>
      <c r="H405" s="43" t="str">
        <f aca="false">CHOOSE(F405,"Gen","Feb","Mar","Apr","Mag","Giu","Lug","Ago","Set","Ott","Nov","Dic")&amp;" "&amp;E405</f>
        <v>Giu 2026</v>
      </c>
      <c r="I405" s="43" t="n">
        <f aca="false">SUMPRODUCT(($A$2:$A$494&gt;A405)*1)+1</f>
        <v>90</v>
      </c>
      <c r="J405" s="43" t="str">
        <f aca="false">IF(G405=Supporto!$J$4,SUMPRODUCT(($G$2:$G$494=Supporto!$J$4)*($A$2:$A$494&gt;A405))+1,"")</f>
        <v/>
      </c>
    </row>
    <row r="406" customFormat="false" ht="15" hidden="false" customHeight="false" outlineLevel="0" collapsed="false">
      <c r="A406" s="39" t="n">
        <v>46186.4652777778</v>
      </c>
      <c r="B406" s="40" t="s">
        <v>26</v>
      </c>
      <c r="C406" s="41" t="s">
        <v>27</v>
      </c>
      <c r="D406" s="42" t="n">
        <v>24.17</v>
      </c>
      <c r="E406" s="43" t="n">
        <f aca="false">YEAR(A406)</f>
        <v>2026</v>
      </c>
      <c r="F406" s="43" t="n">
        <f aca="false">MONTH(A406)</f>
        <v>6</v>
      </c>
      <c r="G406" s="43" t="n">
        <f aca="false">E406*100+F406</f>
        <v>202606</v>
      </c>
      <c r="H406" s="43" t="str">
        <f aca="false">CHOOSE(F406,"Gen","Feb","Mar","Apr","Mag","Giu","Lug","Ago","Set","Ott","Nov","Dic")&amp;" "&amp;E406</f>
        <v>Giu 2026</v>
      </c>
      <c r="I406" s="43" t="n">
        <f aca="false">SUMPRODUCT(($A$2:$A$494&gt;A406)*1)+1</f>
        <v>89</v>
      </c>
      <c r="J406" s="43" t="str">
        <f aca="false">IF(G406=Supporto!$J$4,SUMPRODUCT(($G$2:$G$494=Supporto!$J$4)*($A$2:$A$494&gt;A406))+1,"")</f>
        <v/>
      </c>
    </row>
    <row r="407" customFormat="false" ht="15" hidden="false" customHeight="false" outlineLevel="0" collapsed="false">
      <c r="A407" s="39" t="n">
        <v>46186.7604166667</v>
      </c>
      <c r="B407" s="40" t="s">
        <v>36</v>
      </c>
      <c r="C407" s="41" t="s">
        <v>27</v>
      </c>
      <c r="D407" s="42" t="n">
        <v>29.29</v>
      </c>
      <c r="E407" s="43" t="n">
        <f aca="false">YEAR(A407)</f>
        <v>2026</v>
      </c>
      <c r="F407" s="43" t="n">
        <f aca="false">MONTH(A407)</f>
        <v>6</v>
      </c>
      <c r="G407" s="43" t="n">
        <f aca="false">E407*100+F407</f>
        <v>202606</v>
      </c>
      <c r="H407" s="43" t="str">
        <f aca="false">CHOOSE(F407,"Gen","Feb","Mar","Apr","Mag","Giu","Lug","Ago","Set","Ott","Nov","Dic")&amp;" "&amp;E407</f>
        <v>Giu 2026</v>
      </c>
      <c r="I407" s="43" t="n">
        <f aca="false">SUMPRODUCT(($A$2:$A$494&gt;A407)*1)+1</f>
        <v>88</v>
      </c>
      <c r="J407" s="43" t="str">
        <f aca="false">IF(G407=Supporto!$J$4,SUMPRODUCT(($G$2:$G$494=Supporto!$J$4)*($A$2:$A$494&gt;A407))+1,"")</f>
        <v/>
      </c>
    </row>
    <row r="408" customFormat="false" ht="15" hidden="false" customHeight="false" outlineLevel="0" collapsed="false">
      <c r="A408" s="39" t="n">
        <v>46187.5361111111</v>
      </c>
      <c r="B408" s="40" t="s">
        <v>30</v>
      </c>
      <c r="C408" s="41" t="s">
        <v>27</v>
      </c>
      <c r="D408" s="42" t="n">
        <v>56.49</v>
      </c>
      <c r="E408" s="43" t="n">
        <f aca="false">YEAR(A408)</f>
        <v>2026</v>
      </c>
      <c r="F408" s="43" t="n">
        <f aca="false">MONTH(A408)</f>
        <v>6</v>
      </c>
      <c r="G408" s="43" t="n">
        <f aca="false">E408*100+F408</f>
        <v>202606</v>
      </c>
      <c r="H408" s="43" t="str">
        <f aca="false">CHOOSE(F408,"Gen","Feb","Mar","Apr","Mag","Giu","Lug","Ago","Set","Ott","Nov","Dic")&amp;" "&amp;E408</f>
        <v>Giu 2026</v>
      </c>
      <c r="I408" s="43" t="n">
        <f aca="false">SUMPRODUCT(($A$2:$A$494&gt;A408)*1)+1</f>
        <v>87</v>
      </c>
      <c r="J408" s="43" t="str">
        <f aca="false">IF(G408=Supporto!$J$4,SUMPRODUCT(($G$2:$G$494=Supporto!$J$4)*($A$2:$A$494&gt;A408))+1,"")</f>
        <v/>
      </c>
    </row>
    <row r="409" customFormat="false" ht="15" hidden="false" customHeight="false" outlineLevel="0" collapsed="false">
      <c r="A409" s="39" t="n">
        <v>46187.7381944444</v>
      </c>
      <c r="B409" s="40" t="s">
        <v>29</v>
      </c>
      <c r="C409" s="41" t="s">
        <v>27</v>
      </c>
      <c r="D409" s="42" t="n">
        <v>117.24</v>
      </c>
      <c r="E409" s="43" t="n">
        <f aca="false">YEAR(A409)</f>
        <v>2026</v>
      </c>
      <c r="F409" s="43" t="n">
        <f aca="false">MONTH(A409)</f>
        <v>6</v>
      </c>
      <c r="G409" s="43" t="n">
        <f aca="false">E409*100+F409</f>
        <v>202606</v>
      </c>
      <c r="H409" s="43" t="str">
        <f aca="false">CHOOSE(F409,"Gen","Feb","Mar","Apr","Mag","Giu","Lug","Ago","Set","Ott","Nov","Dic")&amp;" "&amp;E409</f>
        <v>Giu 2026</v>
      </c>
      <c r="I409" s="43" t="n">
        <f aca="false">SUMPRODUCT(($A$2:$A$494&gt;A409)*1)+1</f>
        <v>86</v>
      </c>
      <c r="J409" s="43" t="str">
        <f aca="false">IF(G409=Supporto!$J$4,SUMPRODUCT(($G$2:$G$494=Supporto!$J$4)*($A$2:$A$494&gt;A409))+1,"")</f>
        <v/>
      </c>
    </row>
    <row r="410" customFormat="false" ht="15" hidden="false" customHeight="false" outlineLevel="0" collapsed="false">
      <c r="A410" s="39" t="n">
        <v>46188.5159722222</v>
      </c>
      <c r="B410" s="40" t="s">
        <v>29</v>
      </c>
      <c r="C410" s="41" t="s">
        <v>27</v>
      </c>
      <c r="D410" s="42" t="n">
        <v>106.47</v>
      </c>
      <c r="E410" s="43" t="n">
        <f aca="false">YEAR(A410)</f>
        <v>2026</v>
      </c>
      <c r="F410" s="43" t="n">
        <f aca="false">MONTH(A410)</f>
        <v>6</v>
      </c>
      <c r="G410" s="43" t="n">
        <f aca="false">E410*100+F410</f>
        <v>202606</v>
      </c>
      <c r="H410" s="43" t="str">
        <f aca="false">CHOOSE(F410,"Gen","Feb","Mar","Apr","Mag","Giu","Lug","Ago","Set","Ott","Nov","Dic")&amp;" "&amp;E410</f>
        <v>Giu 2026</v>
      </c>
      <c r="I410" s="43" t="n">
        <f aca="false">SUMPRODUCT(($A$2:$A$494&gt;A410)*1)+1</f>
        <v>85</v>
      </c>
      <c r="J410" s="43" t="str">
        <f aca="false">IF(G410=Supporto!$J$4,SUMPRODUCT(($G$2:$G$494=Supporto!$J$4)*($A$2:$A$494&gt;A410))+1,"")</f>
        <v/>
      </c>
    </row>
    <row r="411" customFormat="false" ht="15" hidden="false" customHeight="false" outlineLevel="0" collapsed="false">
      <c r="A411" s="39" t="n">
        <v>46191.4479166667</v>
      </c>
      <c r="B411" s="40" t="s">
        <v>39</v>
      </c>
      <c r="C411" s="41" t="s">
        <v>27</v>
      </c>
      <c r="D411" s="42" t="n">
        <v>32.78</v>
      </c>
      <c r="E411" s="43" t="n">
        <f aca="false">YEAR(A411)</f>
        <v>2026</v>
      </c>
      <c r="F411" s="43" t="n">
        <f aca="false">MONTH(A411)</f>
        <v>6</v>
      </c>
      <c r="G411" s="43" t="n">
        <f aca="false">E411*100+F411</f>
        <v>202606</v>
      </c>
      <c r="H411" s="43" t="str">
        <f aca="false">CHOOSE(F411,"Gen","Feb","Mar","Apr","Mag","Giu","Lug","Ago","Set","Ott","Nov","Dic")&amp;" "&amp;E411</f>
        <v>Giu 2026</v>
      </c>
      <c r="I411" s="43" t="n">
        <f aca="false">SUMPRODUCT(($A$2:$A$494&gt;A411)*1)+1</f>
        <v>84</v>
      </c>
      <c r="J411" s="43" t="str">
        <f aca="false">IF(G411=Supporto!$J$4,SUMPRODUCT(($G$2:$G$494=Supporto!$J$4)*($A$2:$A$494&gt;A411))+1,"")</f>
        <v/>
      </c>
    </row>
    <row r="412" customFormat="false" ht="15" hidden="false" customHeight="false" outlineLevel="0" collapsed="false">
      <c r="A412" s="39" t="n">
        <v>46191.5965277778</v>
      </c>
      <c r="B412" s="40" t="s">
        <v>33</v>
      </c>
      <c r="C412" s="41" t="s">
        <v>27</v>
      </c>
      <c r="D412" s="42" t="n">
        <v>20.63</v>
      </c>
      <c r="E412" s="43" t="n">
        <f aca="false">YEAR(A412)</f>
        <v>2026</v>
      </c>
      <c r="F412" s="43" t="n">
        <f aca="false">MONTH(A412)</f>
        <v>6</v>
      </c>
      <c r="G412" s="43" t="n">
        <f aca="false">E412*100+F412</f>
        <v>202606</v>
      </c>
      <c r="H412" s="43" t="str">
        <f aca="false">CHOOSE(F412,"Gen","Feb","Mar","Apr","Mag","Giu","Lug","Ago","Set","Ott","Nov","Dic")&amp;" "&amp;E412</f>
        <v>Giu 2026</v>
      </c>
      <c r="I412" s="43" t="n">
        <f aca="false">SUMPRODUCT(($A$2:$A$494&gt;A412)*1)+1</f>
        <v>83</v>
      </c>
      <c r="J412" s="43" t="str">
        <f aca="false">IF(G412=Supporto!$J$4,SUMPRODUCT(($G$2:$G$494=Supporto!$J$4)*($A$2:$A$494&gt;A412))+1,"")</f>
        <v/>
      </c>
    </row>
    <row r="413" customFormat="false" ht="15" hidden="false" customHeight="false" outlineLevel="0" collapsed="false">
      <c r="A413" s="39" t="n">
        <v>46193.3680555556</v>
      </c>
      <c r="B413" s="40" t="s">
        <v>29</v>
      </c>
      <c r="C413" s="41" t="s">
        <v>27</v>
      </c>
      <c r="D413" s="42" t="n">
        <v>41.21</v>
      </c>
      <c r="E413" s="43" t="n">
        <f aca="false">YEAR(A413)</f>
        <v>2026</v>
      </c>
      <c r="F413" s="43" t="n">
        <f aca="false">MONTH(A413)</f>
        <v>6</v>
      </c>
      <c r="G413" s="43" t="n">
        <f aca="false">E413*100+F413</f>
        <v>202606</v>
      </c>
      <c r="H413" s="43" t="str">
        <f aca="false">CHOOSE(F413,"Gen","Feb","Mar","Apr","Mag","Giu","Lug","Ago","Set","Ott","Nov","Dic")&amp;" "&amp;E413</f>
        <v>Giu 2026</v>
      </c>
      <c r="I413" s="43" t="n">
        <f aca="false">SUMPRODUCT(($A$2:$A$494&gt;A413)*1)+1</f>
        <v>82</v>
      </c>
      <c r="J413" s="43" t="str">
        <f aca="false">IF(G413=Supporto!$J$4,SUMPRODUCT(($G$2:$G$494=Supporto!$J$4)*($A$2:$A$494&gt;A413))+1,"")</f>
        <v/>
      </c>
    </row>
    <row r="414" customFormat="false" ht="15" hidden="false" customHeight="false" outlineLevel="0" collapsed="false">
      <c r="A414" s="39" t="n">
        <v>46194.7111111111</v>
      </c>
      <c r="B414" s="40" t="s">
        <v>29</v>
      </c>
      <c r="C414" s="41" t="s">
        <v>27</v>
      </c>
      <c r="D414" s="42" t="n">
        <v>305.7</v>
      </c>
      <c r="E414" s="43" t="n">
        <f aca="false">YEAR(A414)</f>
        <v>2026</v>
      </c>
      <c r="F414" s="43" t="n">
        <f aca="false">MONTH(A414)</f>
        <v>6</v>
      </c>
      <c r="G414" s="43" t="n">
        <f aca="false">E414*100+F414</f>
        <v>202606</v>
      </c>
      <c r="H414" s="43" t="str">
        <f aca="false">CHOOSE(F414,"Gen","Feb","Mar","Apr","Mag","Giu","Lug","Ago","Set","Ott","Nov","Dic")&amp;" "&amp;E414</f>
        <v>Giu 2026</v>
      </c>
      <c r="I414" s="43" t="n">
        <f aca="false">SUMPRODUCT(($A$2:$A$494&gt;A414)*1)+1</f>
        <v>81</v>
      </c>
      <c r="J414" s="43" t="str">
        <f aca="false">IF(G414=Supporto!$J$4,SUMPRODUCT(($G$2:$G$494=Supporto!$J$4)*($A$2:$A$494&gt;A414))+1,"")</f>
        <v/>
      </c>
    </row>
    <row r="415" customFormat="false" ht="15" hidden="false" customHeight="false" outlineLevel="0" collapsed="false">
      <c r="A415" s="39" t="n">
        <v>46195.4729166667</v>
      </c>
      <c r="B415" s="40" t="s">
        <v>28</v>
      </c>
      <c r="C415" s="41" t="s">
        <v>27</v>
      </c>
      <c r="D415" s="42" t="n">
        <v>231.85</v>
      </c>
      <c r="E415" s="43" t="n">
        <f aca="false">YEAR(A415)</f>
        <v>2026</v>
      </c>
      <c r="F415" s="43" t="n">
        <f aca="false">MONTH(A415)</f>
        <v>6</v>
      </c>
      <c r="G415" s="43" t="n">
        <f aca="false">E415*100+F415</f>
        <v>202606</v>
      </c>
      <c r="H415" s="43" t="str">
        <f aca="false">CHOOSE(F415,"Gen","Feb","Mar","Apr","Mag","Giu","Lug","Ago","Set","Ott","Nov","Dic")&amp;" "&amp;E415</f>
        <v>Giu 2026</v>
      </c>
      <c r="I415" s="43" t="n">
        <f aca="false">SUMPRODUCT(($A$2:$A$494&gt;A415)*1)+1</f>
        <v>80</v>
      </c>
      <c r="J415" s="43" t="str">
        <f aca="false">IF(G415=Supporto!$J$4,SUMPRODUCT(($G$2:$G$494=Supporto!$J$4)*($A$2:$A$494&gt;A415))+1,"")</f>
        <v/>
      </c>
    </row>
    <row r="416" customFormat="false" ht="15" hidden="false" customHeight="false" outlineLevel="0" collapsed="false">
      <c r="A416" s="39" t="n">
        <v>46195.8555555556</v>
      </c>
      <c r="B416" s="40" t="s">
        <v>34</v>
      </c>
      <c r="C416" s="41" t="s">
        <v>27</v>
      </c>
      <c r="D416" s="42" t="n">
        <v>89.48</v>
      </c>
      <c r="E416" s="43" t="n">
        <f aca="false">YEAR(A416)</f>
        <v>2026</v>
      </c>
      <c r="F416" s="43" t="n">
        <f aca="false">MONTH(A416)</f>
        <v>6</v>
      </c>
      <c r="G416" s="43" t="n">
        <f aca="false">E416*100+F416</f>
        <v>202606</v>
      </c>
      <c r="H416" s="43" t="str">
        <f aca="false">CHOOSE(F416,"Gen","Feb","Mar","Apr","Mag","Giu","Lug","Ago","Set","Ott","Nov","Dic")&amp;" "&amp;E416</f>
        <v>Giu 2026</v>
      </c>
      <c r="I416" s="43" t="n">
        <f aca="false">SUMPRODUCT(($A$2:$A$494&gt;A416)*1)+1</f>
        <v>79</v>
      </c>
      <c r="J416" s="43" t="str">
        <f aca="false">IF(G416=Supporto!$J$4,SUMPRODUCT(($G$2:$G$494=Supporto!$J$4)*($A$2:$A$494&gt;A416))+1,"")</f>
        <v/>
      </c>
    </row>
    <row r="417" customFormat="false" ht="15" hidden="false" customHeight="false" outlineLevel="0" collapsed="false">
      <c r="A417" s="39" t="n">
        <v>46195.8951388889</v>
      </c>
      <c r="B417" s="40" t="s">
        <v>33</v>
      </c>
      <c r="C417" s="41" t="s">
        <v>27</v>
      </c>
      <c r="D417" s="42" t="n">
        <v>3</v>
      </c>
      <c r="E417" s="43" t="n">
        <f aca="false">YEAR(A417)</f>
        <v>2026</v>
      </c>
      <c r="F417" s="43" t="n">
        <f aca="false">MONTH(A417)</f>
        <v>6</v>
      </c>
      <c r="G417" s="43" t="n">
        <f aca="false">E417*100+F417</f>
        <v>202606</v>
      </c>
      <c r="H417" s="43" t="str">
        <f aca="false">CHOOSE(F417,"Gen","Feb","Mar","Apr","Mag","Giu","Lug","Ago","Set","Ott","Nov","Dic")&amp;" "&amp;E417</f>
        <v>Giu 2026</v>
      </c>
      <c r="I417" s="43" t="n">
        <f aca="false">SUMPRODUCT(($A$2:$A$494&gt;A417)*1)+1</f>
        <v>78</v>
      </c>
      <c r="J417" s="43" t="str">
        <f aca="false">IF(G417=Supporto!$J$4,SUMPRODUCT(($G$2:$G$494=Supporto!$J$4)*($A$2:$A$494&gt;A417))+1,"")</f>
        <v/>
      </c>
    </row>
    <row r="418" customFormat="false" ht="15" hidden="false" customHeight="false" outlineLevel="0" collapsed="false">
      <c r="A418" s="39" t="n">
        <v>46196.7972222222</v>
      </c>
      <c r="B418" s="40" t="s">
        <v>28</v>
      </c>
      <c r="C418" s="41" t="s">
        <v>27</v>
      </c>
      <c r="D418" s="42" t="n">
        <v>225.42</v>
      </c>
      <c r="E418" s="43" t="n">
        <f aca="false">YEAR(A418)</f>
        <v>2026</v>
      </c>
      <c r="F418" s="43" t="n">
        <f aca="false">MONTH(A418)</f>
        <v>6</v>
      </c>
      <c r="G418" s="43" t="n">
        <f aca="false">E418*100+F418</f>
        <v>202606</v>
      </c>
      <c r="H418" s="43" t="str">
        <f aca="false">CHOOSE(F418,"Gen","Feb","Mar","Apr","Mag","Giu","Lug","Ago","Set","Ott","Nov","Dic")&amp;" "&amp;E418</f>
        <v>Giu 2026</v>
      </c>
      <c r="I418" s="43" t="n">
        <f aca="false">SUMPRODUCT(($A$2:$A$494&gt;A418)*1)+1</f>
        <v>77</v>
      </c>
      <c r="J418" s="43" t="str">
        <f aca="false">IF(G418=Supporto!$J$4,SUMPRODUCT(($G$2:$G$494=Supporto!$J$4)*($A$2:$A$494&gt;A418))+1,"")</f>
        <v/>
      </c>
    </row>
    <row r="419" customFormat="false" ht="15" hidden="false" customHeight="false" outlineLevel="0" collapsed="false">
      <c r="A419" s="39" t="n">
        <v>46198.3625</v>
      </c>
      <c r="B419" s="40" t="s">
        <v>26</v>
      </c>
      <c r="C419" s="41" t="s">
        <v>27</v>
      </c>
      <c r="D419" s="42" t="n">
        <v>4.29</v>
      </c>
      <c r="E419" s="43" t="n">
        <f aca="false">YEAR(A419)</f>
        <v>2026</v>
      </c>
      <c r="F419" s="43" t="n">
        <f aca="false">MONTH(A419)</f>
        <v>6</v>
      </c>
      <c r="G419" s="43" t="n">
        <f aca="false">E419*100+F419</f>
        <v>202606</v>
      </c>
      <c r="H419" s="43" t="str">
        <f aca="false">CHOOSE(F419,"Gen","Feb","Mar","Apr","Mag","Giu","Lug","Ago","Set","Ott","Nov","Dic")&amp;" "&amp;E419</f>
        <v>Giu 2026</v>
      </c>
      <c r="I419" s="43" t="n">
        <f aca="false">SUMPRODUCT(($A$2:$A$494&gt;A419)*1)+1</f>
        <v>76</v>
      </c>
      <c r="J419" s="43" t="str">
        <f aca="false">IF(G419=Supporto!$J$4,SUMPRODUCT(($G$2:$G$494=Supporto!$J$4)*($A$2:$A$494&gt;A419))+1,"")</f>
        <v/>
      </c>
    </row>
    <row r="420" customFormat="false" ht="15" hidden="false" customHeight="false" outlineLevel="0" collapsed="false">
      <c r="A420" s="39" t="n">
        <v>46198.8847222222</v>
      </c>
      <c r="B420" s="40" t="s">
        <v>33</v>
      </c>
      <c r="C420" s="41" t="s">
        <v>27</v>
      </c>
      <c r="D420" s="42" t="n">
        <v>30.52</v>
      </c>
      <c r="E420" s="43" t="n">
        <f aca="false">YEAR(A420)</f>
        <v>2026</v>
      </c>
      <c r="F420" s="43" t="n">
        <f aca="false">MONTH(A420)</f>
        <v>6</v>
      </c>
      <c r="G420" s="43" t="n">
        <f aca="false">E420*100+F420</f>
        <v>202606</v>
      </c>
      <c r="H420" s="43" t="str">
        <f aca="false">CHOOSE(F420,"Gen","Feb","Mar","Apr","Mag","Giu","Lug","Ago","Set","Ott","Nov","Dic")&amp;" "&amp;E420</f>
        <v>Giu 2026</v>
      </c>
      <c r="I420" s="43" t="n">
        <f aca="false">SUMPRODUCT(($A$2:$A$494&gt;A420)*1)+1</f>
        <v>75</v>
      </c>
      <c r="J420" s="43" t="str">
        <f aca="false">IF(G420=Supporto!$J$4,SUMPRODUCT(($G$2:$G$494=Supporto!$J$4)*($A$2:$A$494&gt;A420))+1,"")</f>
        <v/>
      </c>
    </row>
    <row r="421" customFormat="false" ht="15" hidden="false" customHeight="false" outlineLevel="0" collapsed="false">
      <c r="A421" s="39" t="n">
        <v>46199.7444444444</v>
      </c>
      <c r="B421" s="40" t="s">
        <v>34</v>
      </c>
      <c r="C421" s="41" t="s">
        <v>27</v>
      </c>
      <c r="D421" s="42" t="n">
        <v>44.44</v>
      </c>
      <c r="E421" s="43" t="n">
        <f aca="false">YEAR(A421)</f>
        <v>2026</v>
      </c>
      <c r="F421" s="43" t="n">
        <f aca="false">MONTH(A421)</f>
        <v>6</v>
      </c>
      <c r="G421" s="43" t="n">
        <f aca="false">E421*100+F421</f>
        <v>202606</v>
      </c>
      <c r="H421" s="43" t="str">
        <f aca="false">CHOOSE(F421,"Gen","Feb","Mar","Apr","Mag","Giu","Lug","Ago","Set","Ott","Nov","Dic")&amp;" "&amp;E421</f>
        <v>Giu 2026</v>
      </c>
      <c r="I421" s="43" t="n">
        <f aca="false">SUMPRODUCT(($A$2:$A$494&gt;A421)*1)+1</f>
        <v>74</v>
      </c>
      <c r="J421" s="43" t="str">
        <f aca="false">IF(G421=Supporto!$J$4,SUMPRODUCT(($G$2:$G$494=Supporto!$J$4)*($A$2:$A$494&gt;A421))+1,"")</f>
        <v/>
      </c>
    </row>
    <row r="422" customFormat="false" ht="15" hidden="false" customHeight="false" outlineLevel="0" collapsed="false">
      <c r="A422" s="39" t="n">
        <v>46199.95625</v>
      </c>
      <c r="B422" s="40" t="s">
        <v>33</v>
      </c>
      <c r="C422" s="41" t="s">
        <v>27</v>
      </c>
      <c r="D422" s="42" t="n">
        <v>9.13</v>
      </c>
      <c r="E422" s="43" t="n">
        <f aca="false">YEAR(A422)</f>
        <v>2026</v>
      </c>
      <c r="F422" s="43" t="n">
        <f aca="false">MONTH(A422)</f>
        <v>6</v>
      </c>
      <c r="G422" s="43" t="n">
        <f aca="false">E422*100+F422</f>
        <v>202606</v>
      </c>
      <c r="H422" s="43" t="str">
        <f aca="false">CHOOSE(F422,"Gen","Feb","Mar","Apr","Mag","Giu","Lug","Ago","Set","Ott","Nov","Dic")&amp;" "&amp;E422</f>
        <v>Giu 2026</v>
      </c>
      <c r="I422" s="43" t="n">
        <f aca="false">SUMPRODUCT(($A$2:$A$494&gt;A422)*1)+1</f>
        <v>73</v>
      </c>
      <c r="J422" s="43" t="str">
        <f aca="false">IF(G422=Supporto!$J$4,SUMPRODUCT(($G$2:$G$494=Supporto!$J$4)*($A$2:$A$494&gt;A422))+1,"")</f>
        <v/>
      </c>
    </row>
    <row r="423" customFormat="false" ht="15" hidden="false" customHeight="false" outlineLevel="0" collapsed="false">
      <c r="A423" s="39" t="n">
        <v>46200.375</v>
      </c>
      <c r="B423" s="40" t="s">
        <v>40</v>
      </c>
      <c r="C423" s="41" t="s">
        <v>32</v>
      </c>
      <c r="D423" s="42" t="n">
        <v>2371</v>
      </c>
      <c r="E423" s="43" t="n">
        <f aca="false">YEAR(A423)</f>
        <v>2026</v>
      </c>
      <c r="F423" s="43" t="n">
        <f aca="false">MONTH(A423)</f>
        <v>6</v>
      </c>
      <c r="G423" s="43" t="n">
        <f aca="false">E423*100+F423</f>
        <v>202606</v>
      </c>
      <c r="H423" s="43" t="str">
        <f aca="false">CHOOSE(F423,"Gen","Feb","Mar","Apr","Mag","Giu","Lug","Ago","Set","Ott","Nov","Dic")&amp;" "&amp;E423</f>
        <v>Giu 2026</v>
      </c>
      <c r="I423" s="43" t="n">
        <f aca="false">SUMPRODUCT(($A$2:$A$494&gt;A423)*1)+1</f>
        <v>72</v>
      </c>
      <c r="J423" s="43" t="str">
        <f aca="false">IF(G423=Supporto!$J$4,SUMPRODUCT(($G$2:$G$494=Supporto!$J$4)*($A$2:$A$494&gt;A423))+1,"")</f>
        <v/>
      </c>
    </row>
    <row r="424" customFormat="false" ht="15" hidden="false" customHeight="false" outlineLevel="0" collapsed="false">
      <c r="A424" s="39" t="n">
        <v>46200.3784722222</v>
      </c>
      <c r="B424" s="40" t="s">
        <v>41</v>
      </c>
      <c r="C424" s="41" t="s">
        <v>32</v>
      </c>
      <c r="D424" s="42" t="n">
        <v>1950.27</v>
      </c>
      <c r="E424" s="43" t="n">
        <f aca="false">YEAR(A424)</f>
        <v>2026</v>
      </c>
      <c r="F424" s="43" t="n">
        <f aca="false">MONTH(A424)</f>
        <v>6</v>
      </c>
      <c r="G424" s="43" t="n">
        <f aca="false">E424*100+F424</f>
        <v>202606</v>
      </c>
      <c r="H424" s="43" t="str">
        <f aca="false">CHOOSE(F424,"Gen","Feb","Mar","Apr","Mag","Giu","Lug","Ago","Set","Ott","Nov","Dic")&amp;" "&amp;E424</f>
        <v>Giu 2026</v>
      </c>
      <c r="I424" s="43" t="n">
        <f aca="false">SUMPRODUCT(($A$2:$A$494&gt;A424)*1)+1</f>
        <v>71</v>
      </c>
      <c r="J424" s="43" t="str">
        <f aca="false">IF(G424=Supporto!$J$4,SUMPRODUCT(($G$2:$G$494=Supporto!$J$4)*($A$2:$A$494&gt;A424))+1,"")</f>
        <v/>
      </c>
    </row>
    <row r="425" customFormat="false" ht="15" hidden="false" customHeight="false" outlineLevel="0" collapsed="false">
      <c r="A425" s="39" t="n">
        <v>46200.5576388889</v>
      </c>
      <c r="B425" s="40" t="s">
        <v>33</v>
      </c>
      <c r="C425" s="41" t="s">
        <v>27</v>
      </c>
      <c r="D425" s="42" t="n">
        <v>20.94</v>
      </c>
      <c r="E425" s="43" t="n">
        <f aca="false">YEAR(A425)</f>
        <v>2026</v>
      </c>
      <c r="F425" s="43" t="n">
        <f aca="false">MONTH(A425)</f>
        <v>6</v>
      </c>
      <c r="G425" s="43" t="n">
        <f aca="false">E425*100+F425</f>
        <v>202606</v>
      </c>
      <c r="H425" s="43" t="str">
        <f aca="false">CHOOSE(F425,"Gen","Feb","Mar","Apr","Mag","Giu","Lug","Ago","Set","Ott","Nov","Dic")&amp;" "&amp;E425</f>
        <v>Giu 2026</v>
      </c>
      <c r="I425" s="43" t="n">
        <f aca="false">SUMPRODUCT(($A$2:$A$494&gt;A425)*1)+1</f>
        <v>70</v>
      </c>
      <c r="J425" s="43" t="str">
        <f aca="false">IF(G425=Supporto!$J$4,SUMPRODUCT(($G$2:$G$494=Supporto!$J$4)*($A$2:$A$494&gt;A425))+1,"")</f>
        <v/>
      </c>
    </row>
    <row r="426" customFormat="false" ht="15" hidden="false" customHeight="false" outlineLevel="0" collapsed="false">
      <c r="A426" s="39" t="n">
        <v>46201.4291666667</v>
      </c>
      <c r="B426" s="40" t="s">
        <v>39</v>
      </c>
      <c r="C426" s="41" t="s">
        <v>27</v>
      </c>
      <c r="D426" s="42" t="n">
        <v>4.72</v>
      </c>
      <c r="E426" s="43" t="n">
        <f aca="false">YEAR(A426)</f>
        <v>2026</v>
      </c>
      <c r="F426" s="43" t="n">
        <f aca="false">MONTH(A426)</f>
        <v>6</v>
      </c>
      <c r="G426" s="43" t="n">
        <f aca="false">E426*100+F426</f>
        <v>202606</v>
      </c>
      <c r="H426" s="43" t="str">
        <f aca="false">CHOOSE(F426,"Gen","Feb","Mar","Apr","Mag","Giu","Lug","Ago","Set","Ott","Nov","Dic")&amp;" "&amp;E426</f>
        <v>Giu 2026</v>
      </c>
      <c r="I426" s="43" t="n">
        <f aca="false">SUMPRODUCT(($A$2:$A$494&gt;A426)*1)+1</f>
        <v>69</v>
      </c>
      <c r="J426" s="43" t="str">
        <f aca="false">IF(G426=Supporto!$J$4,SUMPRODUCT(($G$2:$G$494=Supporto!$J$4)*($A$2:$A$494&gt;A426))+1,"")</f>
        <v/>
      </c>
    </row>
    <row r="427" customFormat="false" ht="15" hidden="false" customHeight="false" outlineLevel="0" collapsed="false">
      <c r="A427" s="39" t="n">
        <v>46204.7604166667</v>
      </c>
      <c r="B427" s="40" t="s">
        <v>28</v>
      </c>
      <c r="C427" s="41" t="s">
        <v>27</v>
      </c>
      <c r="D427" s="42" t="n">
        <v>311.39</v>
      </c>
      <c r="E427" s="43" t="n">
        <f aca="false">YEAR(A427)</f>
        <v>2026</v>
      </c>
      <c r="F427" s="43" t="n">
        <f aca="false">MONTH(A427)</f>
        <v>7</v>
      </c>
      <c r="G427" s="43" t="n">
        <f aca="false">E427*100+F427</f>
        <v>202607</v>
      </c>
      <c r="H427" s="43" t="str">
        <f aca="false">CHOOSE(F427,"Gen","Feb","Mar","Apr","Mag","Giu","Lug","Ago","Set","Ott","Nov","Dic")&amp;" "&amp;E427</f>
        <v>Lug 2026</v>
      </c>
      <c r="I427" s="43" t="n">
        <f aca="false">SUMPRODUCT(($A$2:$A$494&gt;A427)*1)+1</f>
        <v>68</v>
      </c>
      <c r="J427" s="43" t="str">
        <f aca="false">IF(G427=Supporto!$J$4,SUMPRODUCT(($G$2:$G$494=Supporto!$J$4)*($A$2:$A$494&gt;A427))+1,"")</f>
        <v/>
      </c>
    </row>
    <row r="428" customFormat="false" ht="15" hidden="false" customHeight="false" outlineLevel="0" collapsed="false">
      <c r="A428" s="39" t="n">
        <v>46205.5541666667</v>
      </c>
      <c r="B428" s="40" t="s">
        <v>33</v>
      </c>
      <c r="C428" s="41" t="s">
        <v>27</v>
      </c>
      <c r="D428" s="42" t="n">
        <v>69.34</v>
      </c>
      <c r="E428" s="43" t="n">
        <f aca="false">YEAR(A428)</f>
        <v>2026</v>
      </c>
      <c r="F428" s="43" t="n">
        <f aca="false">MONTH(A428)</f>
        <v>7</v>
      </c>
      <c r="G428" s="43" t="n">
        <f aca="false">E428*100+F428</f>
        <v>202607</v>
      </c>
      <c r="H428" s="43" t="str">
        <f aca="false">CHOOSE(F428,"Gen","Feb","Mar","Apr","Mag","Giu","Lug","Ago","Set","Ott","Nov","Dic")&amp;" "&amp;E428</f>
        <v>Lug 2026</v>
      </c>
      <c r="I428" s="43" t="n">
        <f aca="false">SUMPRODUCT(($A$2:$A$494&gt;A428)*1)+1</f>
        <v>67</v>
      </c>
      <c r="J428" s="43" t="str">
        <f aca="false">IF(G428=Supporto!$J$4,SUMPRODUCT(($G$2:$G$494=Supporto!$J$4)*($A$2:$A$494&gt;A428))+1,"")</f>
        <v/>
      </c>
    </row>
    <row r="429" customFormat="false" ht="15" hidden="false" customHeight="false" outlineLevel="0" collapsed="false">
      <c r="A429" s="39" t="n">
        <v>46206.3027777778</v>
      </c>
      <c r="B429" s="40" t="s">
        <v>29</v>
      </c>
      <c r="C429" s="41" t="s">
        <v>27</v>
      </c>
      <c r="D429" s="42" t="n">
        <v>222.07</v>
      </c>
      <c r="E429" s="43" t="n">
        <f aca="false">YEAR(A429)</f>
        <v>2026</v>
      </c>
      <c r="F429" s="43" t="n">
        <f aca="false">MONTH(A429)</f>
        <v>7</v>
      </c>
      <c r="G429" s="43" t="n">
        <f aca="false">E429*100+F429</f>
        <v>202607</v>
      </c>
      <c r="H429" s="43" t="str">
        <f aca="false">CHOOSE(F429,"Gen","Feb","Mar","Apr","Mag","Giu","Lug","Ago","Set","Ott","Nov","Dic")&amp;" "&amp;E429</f>
        <v>Lug 2026</v>
      </c>
      <c r="I429" s="43" t="n">
        <f aca="false">SUMPRODUCT(($A$2:$A$494&gt;A429)*1)+1</f>
        <v>66</v>
      </c>
      <c r="J429" s="43" t="str">
        <f aca="false">IF(G429=Supporto!$J$4,SUMPRODUCT(($G$2:$G$494=Supporto!$J$4)*($A$2:$A$494&gt;A429))+1,"")</f>
        <v/>
      </c>
    </row>
    <row r="430" customFormat="false" ht="15" hidden="false" customHeight="false" outlineLevel="0" collapsed="false">
      <c r="A430" s="39" t="n">
        <v>46206.3083333333</v>
      </c>
      <c r="B430" s="40" t="s">
        <v>34</v>
      </c>
      <c r="C430" s="41" t="s">
        <v>27</v>
      </c>
      <c r="D430" s="42" t="n">
        <v>12.1</v>
      </c>
      <c r="E430" s="43" t="n">
        <f aca="false">YEAR(A430)</f>
        <v>2026</v>
      </c>
      <c r="F430" s="43" t="n">
        <f aca="false">MONTH(A430)</f>
        <v>7</v>
      </c>
      <c r="G430" s="43" t="n">
        <f aca="false">E430*100+F430</f>
        <v>202607</v>
      </c>
      <c r="H430" s="43" t="str">
        <f aca="false">CHOOSE(F430,"Gen","Feb","Mar","Apr","Mag","Giu","Lug","Ago","Set","Ott","Nov","Dic")&amp;" "&amp;E430</f>
        <v>Lug 2026</v>
      </c>
      <c r="I430" s="43" t="n">
        <f aca="false">SUMPRODUCT(($A$2:$A$494&gt;A430)*1)+1</f>
        <v>65</v>
      </c>
      <c r="J430" s="43" t="str">
        <f aca="false">IF(G430=Supporto!$J$4,SUMPRODUCT(($G$2:$G$494=Supporto!$J$4)*($A$2:$A$494&gt;A430))+1,"")</f>
        <v/>
      </c>
    </row>
    <row r="431" customFormat="false" ht="15" hidden="false" customHeight="false" outlineLevel="0" collapsed="false">
      <c r="A431" s="39" t="n">
        <v>46206.8368055556</v>
      </c>
      <c r="B431" s="40" t="s">
        <v>39</v>
      </c>
      <c r="C431" s="41" t="s">
        <v>27</v>
      </c>
      <c r="D431" s="42" t="n">
        <v>34.63</v>
      </c>
      <c r="E431" s="43" t="n">
        <f aca="false">YEAR(A431)</f>
        <v>2026</v>
      </c>
      <c r="F431" s="43" t="n">
        <f aca="false">MONTH(A431)</f>
        <v>7</v>
      </c>
      <c r="G431" s="43" t="n">
        <f aca="false">E431*100+F431</f>
        <v>202607</v>
      </c>
      <c r="H431" s="43" t="str">
        <f aca="false">CHOOSE(F431,"Gen","Feb","Mar","Apr","Mag","Giu","Lug","Ago","Set","Ott","Nov","Dic")&amp;" "&amp;E431</f>
        <v>Lug 2026</v>
      </c>
      <c r="I431" s="43" t="n">
        <f aca="false">SUMPRODUCT(($A$2:$A$494&gt;A431)*1)+1</f>
        <v>64</v>
      </c>
      <c r="J431" s="43" t="str">
        <f aca="false">IF(G431=Supporto!$J$4,SUMPRODUCT(($G$2:$G$494=Supporto!$J$4)*($A$2:$A$494&gt;A431))+1,"")</f>
        <v/>
      </c>
    </row>
    <row r="432" customFormat="false" ht="15" hidden="false" customHeight="false" outlineLevel="0" collapsed="false">
      <c r="A432" s="39" t="n">
        <v>46208.3486111111</v>
      </c>
      <c r="B432" s="40" t="s">
        <v>26</v>
      </c>
      <c r="C432" s="41" t="s">
        <v>27</v>
      </c>
      <c r="D432" s="42" t="n">
        <v>19.74</v>
      </c>
      <c r="E432" s="43" t="n">
        <f aca="false">YEAR(A432)</f>
        <v>2026</v>
      </c>
      <c r="F432" s="43" t="n">
        <f aca="false">MONTH(A432)</f>
        <v>7</v>
      </c>
      <c r="G432" s="43" t="n">
        <f aca="false">E432*100+F432</f>
        <v>202607</v>
      </c>
      <c r="H432" s="43" t="str">
        <f aca="false">CHOOSE(F432,"Gen","Feb","Mar","Apr","Mag","Giu","Lug","Ago","Set","Ott","Nov","Dic")&amp;" "&amp;E432</f>
        <v>Lug 2026</v>
      </c>
      <c r="I432" s="43" t="n">
        <f aca="false">SUMPRODUCT(($A$2:$A$494&gt;A432)*1)+1</f>
        <v>63</v>
      </c>
      <c r="J432" s="43" t="str">
        <f aca="false">IF(G432=Supporto!$J$4,SUMPRODUCT(($G$2:$G$494=Supporto!$J$4)*($A$2:$A$494&gt;A432))+1,"")</f>
        <v/>
      </c>
    </row>
    <row r="433" customFormat="false" ht="15" hidden="false" customHeight="false" outlineLevel="0" collapsed="false">
      <c r="A433" s="39" t="n">
        <v>46208.40625</v>
      </c>
      <c r="B433" s="40" t="s">
        <v>26</v>
      </c>
      <c r="C433" s="41" t="s">
        <v>27</v>
      </c>
      <c r="D433" s="42" t="n">
        <v>46.33</v>
      </c>
      <c r="E433" s="43" t="n">
        <f aca="false">YEAR(A433)</f>
        <v>2026</v>
      </c>
      <c r="F433" s="43" t="n">
        <f aca="false">MONTH(A433)</f>
        <v>7</v>
      </c>
      <c r="G433" s="43" t="n">
        <f aca="false">E433*100+F433</f>
        <v>202607</v>
      </c>
      <c r="H433" s="43" t="str">
        <f aca="false">CHOOSE(F433,"Gen","Feb","Mar","Apr","Mag","Giu","Lug","Ago","Set","Ott","Nov","Dic")&amp;" "&amp;E433</f>
        <v>Lug 2026</v>
      </c>
      <c r="I433" s="43" t="n">
        <f aca="false">SUMPRODUCT(($A$2:$A$494&gt;A433)*1)+1</f>
        <v>62</v>
      </c>
      <c r="J433" s="43" t="str">
        <f aca="false">IF(G433=Supporto!$J$4,SUMPRODUCT(($G$2:$G$494=Supporto!$J$4)*($A$2:$A$494&gt;A433))+1,"")</f>
        <v/>
      </c>
    </row>
    <row r="434" customFormat="false" ht="15" hidden="false" customHeight="false" outlineLevel="0" collapsed="false">
      <c r="A434" s="39" t="n">
        <v>46208.6854166667</v>
      </c>
      <c r="B434" s="40" t="s">
        <v>28</v>
      </c>
      <c r="C434" s="41" t="s">
        <v>27</v>
      </c>
      <c r="D434" s="42" t="n">
        <v>448.09</v>
      </c>
      <c r="E434" s="43" t="n">
        <f aca="false">YEAR(A434)</f>
        <v>2026</v>
      </c>
      <c r="F434" s="43" t="n">
        <f aca="false">MONTH(A434)</f>
        <v>7</v>
      </c>
      <c r="G434" s="43" t="n">
        <f aca="false">E434*100+F434</f>
        <v>202607</v>
      </c>
      <c r="H434" s="43" t="str">
        <f aca="false">CHOOSE(F434,"Gen","Feb","Mar","Apr","Mag","Giu","Lug","Ago","Set","Ott","Nov","Dic")&amp;" "&amp;E434</f>
        <v>Lug 2026</v>
      </c>
      <c r="I434" s="43" t="n">
        <f aca="false">SUMPRODUCT(($A$2:$A$494&gt;A434)*1)+1</f>
        <v>61</v>
      </c>
      <c r="J434" s="43" t="str">
        <f aca="false">IF(G434=Supporto!$J$4,SUMPRODUCT(($G$2:$G$494=Supporto!$J$4)*($A$2:$A$494&gt;A434))+1,"")</f>
        <v/>
      </c>
    </row>
    <row r="435" customFormat="false" ht="15" hidden="false" customHeight="false" outlineLevel="0" collapsed="false">
      <c r="A435" s="39" t="n">
        <v>46210.4826388889</v>
      </c>
      <c r="B435" s="40" t="s">
        <v>29</v>
      </c>
      <c r="C435" s="41" t="s">
        <v>27</v>
      </c>
      <c r="D435" s="42" t="n">
        <v>3</v>
      </c>
      <c r="E435" s="43" t="n">
        <f aca="false">YEAR(A435)</f>
        <v>2026</v>
      </c>
      <c r="F435" s="43" t="n">
        <f aca="false">MONTH(A435)</f>
        <v>7</v>
      </c>
      <c r="G435" s="43" t="n">
        <f aca="false">E435*100+F435</f>
        <v>202607</v>
      </c>
      <c r="H435" s="43" t="str">
        <f aca="false">CHOOSE(F435,"Gen","Feb","Mar","Apr","Mag","Giu","Lug","Ago","Set","Ott","Nov","Dic")&amp;" "&amp;E435</f>
        <v>Lug 2026</v>
      </c>
      <c r="I435" s="43" t="n">
        <f aca="false">SUMPRODUCT(($A$2:$A$494&gt;A435)*1)+1</f>
        <v>60</v>
      </c>
      <c r="J435" s="43" t="str">
        <f aca="false">IF(G435=Supporto!$J$4,SUMPRODUCT(($G$2:$G$494=Supporto!$J$4)*($A$2:$A$494&gt;A435))+1,"")</f>
        <v/>
      </c>
    </row>
    <row r="436" customFormat="false" ht="15" hidden="false" customHeight="false" outlineLevel="0" collapsed="false">
      <c r="A436" s="39" t="n">
        <v>46211.8611111111</v>
      </c>
      <c r="B436" s="40" t="s">
        <v>29</v>
      </c>
      <c r="C436" s="41" t="s">
        <v>27</v>
      </c>
      <c r="D436" s="42" t="n">
        <v>40.85</v>
      </c>
      <c r="E436" s="43" t="n">
        <f aca="false">YEAR(A436)</f>
        <v>2026</v>
      </c>
      <c r="F436" s="43" t="n">
        <f aca="false">MONTH(A436)</f>
        <v>7</v>
      </c>
      <c r="G436" s="43" t="n">
        <f aca="false">E436*100+F436</f>
        <v>202607</v>
      </c>
      <c r="H436" s="43" t="str">
        <f aca="false">CHOOSE(F436,"Gen","Feb","Mar","Apr","Mag","Giu","Lug","Ago","Set","Ott","Nov","Dic")&amp;" "&amp;E436</f>
        <v>Lug 2026</v>
      </c>
      <c r="I436" s="43" t="n">
        <f aca="false">SUMPRODUCT(($A$2:$A$494&gt;A436)*1)+1</f>
        <v>59</v>
      </c>
      <c r="J436" s="43" t="str">
        <f aca="false">IF(G436=Supporto!$J$4,SUMPRODUCT(($G$2:$G$494=Supporto!$J$4)*($A$2:$A$494&gt;A436))+1,"")</f>
        <v/>
      </c>
    </row>
    <row r="437" customFormat="false" ht="15" hidden="false" customHeight="false" outlineLevel="0" collapsed="false">
      <c r="A437" s="39" t="n">
        <v>46212.3069444444</v>
      </c>
      <c r="B437" s="40" t="s">
        <v>34</v>
      </c>
      <c r="C437" s="41" t="s">
        <v>27</v>
      </c>
      <c r="D437" s="42" t="n">
        <v>3.58</v>
      </c>
      <c r="E437" s="43" t="n">
        <f aca="false">YEAR(A437)</f>
        <v>2026</v>
      </c>
      <c r="F437" s="43" t="n">
        <f aca="false">MONTH(A437)</f>
        <v>7</v>
      </c>
      <c r="G437" s="43" t="n">
        <f aca="false">E437*100+F437</f>
        <v>202607</v>
      </c>
      <c r="H437" s="43" t="str">
        <f aca="false">CHOOSE(F437,"Gen","Feb","Mar","Apr","Mag","Giu","Lug","Ago","Set","Ott","Nov","Dic")&amp;" "&amp;E437</f>
        <v>Lug 2026</v>
      </c>
      <c r="I437" s="43" t="n">
        <f aca="false">SUMPRODUCT(($A$2:$A$494&gt;A437)*1)+1</f>
        <v>58</v>
      </c>
      <c r="J437" s="43" t="str">
        <f aca="false">IF(G437=Supporto!$J$4,SUMPRODUCT(($G$2:$G$494=Supporto!$J$4)*($A$2:$A$494&gt;A437))+1,"")</f>
        <v/>
      </c>
    </row>
    <row r="438" customFormat="false" ht="15" hidden="false" customHeight="false" outlineLevel="0" collapsed="false">
      <c r="A438" s="39" t="n">
        <v>46213.41875</v>
      </c>
      <c r="B438" s="40" t="s">
        <v>29</v>
      </c>
      <c r="C438" s="41" t="s">
        <v>27</v>
      </c>
      <c r="D438" s="42" t="n">
        <v>34.21</v>
      </c>
      <c r="E438" s="43" t="n">
        <f aca="false">YEAR(A438)</f>
        <v>2026</v>
      </c>
      <c r="F438" s="43" t="n">
        <f aca="false">MONTH(A438)</f>
        <v>7</v>
      </c>
      <c r="G438" s="43" t="n">
        <f aca="false">E438*100+F438</f>
        <v>202607</v>
      </c>
      <c r="H438" s="43" t="str">
        <f aca="false">CHOOSE(F438,"Gen","Feb","Mar","Apr","Mag","Giu","Lug","Ago","Set","Ott","Nov","Dic")&amp;" "&amp;E438</f>
        <v>Lug 2026</v>
      </c>
      <c r="I438" s="43" t="n">
        <f aca="false">SUMPRODUCT(($A$2:$A$494&gt;A438)*1)+1</f>
        <v>57</v>
      </c>
      <c r="J438" s="43" t="str">
        <f aca="false">IF(G438=Supporto!$J$4,SUMPRODUCT(($G$2:$G$494=Supporto!$J$4)*($A$2:$A$494&gt;A438))+1,"")</f>
        <v/>
      </c>
    </row>
    <row r="439" customFormat="false" ht="15" hidden="false" customHeight="false" outlineLevel="0" collapsed="false">
      <c r="A439" s="39" t="n">
        <v>46214.6888888889</v>
      </c>
      <c r="B439" s="40" t="s">
        <v>33</v>
      </c>
      <c r="C439" s="41" t="s">
        <v>27</v>
      </c>
      <c r="D439" s="42" t="n">
        <v>4.35</v>
      </c>
      <c r="E439" s="43" t="n">
        <f aca="false">YEAR(A439)</f>
        <v>2026</v>
      </c>
      <c r="F439" s="43" t="n">
        <f aca="false">MONTH(A439)</f>
        <v>7</v>
      </c>
      <c r="G439" s="43" t="n">
        <f aca="false">E439*100+F439</f>
        <v>202607</v>
      </c>
      <c r="H439" s="43" t="str">
        <f aca="false">CHOOSE(F439,"Gen","Feb","Mar","Apr","Mag","Giu","Lug","Ago","Set","Ott","Nov","Dic")&amp;" "&amp;E439</f>
        <v>Lug 2026</v>
      </c>
      <c r="I439" s="43" t="n">
        <f aca="false">SUMPRODUCT(($A$2:$A$494&gt;A439)*1)+1</f>
        <v>56</v>
      </c>
      <c r="J439" s="43" t="str">
        <f aca="false">IF(G439=Supporto!$J$4,SUMPRODUCT(($G$2:$G$494=Supporto!$J$4)*($A$2:$A$494&gt;A439))+1,"")</f>
        <v/>
      </c>
    </row>
    <row r="440" customFormat="false" ht="15" hidden="false" customHeight="false" outlineLevel="0" collapsed="false">
      <c r="A440" s="39" t="n">
        <v>46215.3715277778</v>
      </c>
      <c r="B440" s="40" t="s">
        <v>33</v>
      </c>
      <c r="C440" s="41" t="s">
        <v>27</v>
      </c>
      <c r="D440" s="42" t="n">
        <v>11.14</v>
      </c>
      <c r="E440" s="43" t="n">
        <f aca="false">YEAR(A440)</f>
        <v>2026</v>
      </c>
      <c r="F440" s="43" t="n">
        <f aca="false">MONTH(A440)</f>
        <v>7</v>
      </c>
      <c r="G440" s="43" t="n">
        <f aca="false">E440*100+F440</f>
        <v>202607</v>
      </c>
      <c r="H440" s="43" t="str">
        <f aca="false">CHOOSE(F440,"Gen","Feb","Mar","Apr","Mag","Giu","Lug","Ago","Set","Ott","Nov","Dic")&amp;" "&amp;E440</f>
        <v>Lug 2026</v>
      </c>
      <c r="I440" s="43" t="n">
        <f aca="false">SUMPRODUCT(($A$2:$A$494&gt;A440)*1)+1</f>
        <v>55</v>
      </c>
      <c r="J440" s="43" t="str">
        <f aca="false">IF(G440=Supporto!$J$4,SUMPRODUCT(($G$2:$G$494=Supporto!$J$4)*($A$2:$A$494&gt;A440))+1,"")</f>
        <v/>
      </c>
    </row>
    <row r="441" customFormat="false" ht="15" hidden="false" customHeight="false" outlineLevel="0" collapsed="false">
      <c r="A441" s="39" t="n">
        <v>46216.7159722222</v>
      </c>
      <c r="B441" s="40" t="s">
        <v>30</v>
      </c>
      <c r="C441" s="41" t="s">
        <v>27</v>
      </c>
      <c r="D441" s="42" t="n">
        <v>19.67</v>
      </c>
      <c r="E441" s="43" t="n">
        <f aca="false">YEAR(A441)</f>
        <v>2026</v>
      </c>
      <c r="F441" s="43" t="n">
        <f aca="false">MONTH(A441)</f>
        <v>7</v>
      </c>
      <c r="G441" s="43" t="n">
        <f aca="false">E441*100+F441</f>
        <v>202607</v>
      </c>
      <c r="H441" s="43" t="str">
        <f aca="false">CHOOSE(F441,"Gen","Feb","Mar","Apr","Mag","Giu","Lug","Ago","Set","Ott","Nov","Dic")&amp;" "&amp;E441</f>
        <v>Lug 2026</v>
      </c>
      <c r="I441" s="43" t="n">
        <f aca="false">SUMPRODUCT(($A$2:$A$494&gt;A441)*1)+1</f>
        <v>54</v>
      </c>
      <c r="J441" s="43" t="str">
        <f aca="false">IF(G441=Supporto!$J$4,SUMPRODUCT(($G$2:$G$494=Supporto!$J$4)*($A$2:$A$494&gt;A441))+1,"")</f>
        <v/>
      </c>
    </row>
    <row r="442" customFormat="false" ht="15" hidden="false" customHeight="false" outlineLevel="0" collapsed="false">
      <c r="A442" s="39" t="n">
        <v>46216.9145833333</v>
      </c>
      <c r="B442" s="40" t="s">
        <v>30</v>
      </c>
      <c r="C442" s="41" t="s">
        <v>27</v>
      </c>
      <c r="D442" s="42" t="n">
        <v>15.27</v>
      </c>
      <c r="E442" s="43" t="n">
        <f aca="false">YEAR(A442)</f>
        <v>2026</v>
      </c>
      <c r="F442" s="43" t="n">
        <f aca="false">MONTH(A442)</f>
        <v>7</v>
      </c>
      <c r="G442" s="43" t="n">
        <f aca="false">E442*100+F442</f>
        <v>202607</v>
      </c>
      <c r="H442" s="43" t="str">
        <f aca="false">CHOOSE(F442,"Gen","Feb","Mar","Apr","Mag","Giu","Lug","Ago","Set","Ott","Nov","Dic")&amp;" "&amp;E442</f>
        <v>Lug 2026</v>
      </c>
      <c r="I442" s="43" t="n">
        <f aca="false">SUMPRODUCT(($A$2:$A$494&gt;A442)*1)+1</f>
        <v>53</v>
      </c>
      <c r="J442" s="43" t="str">
        <f aca="false">IF(G442=Supporto!$J$4,SUMPRODUCT(($G$2:$G$494=Supporto!$J$4)*($A$2:$A$494&gt;A442))+1,"")</f>
        <v/>
      </c>
    </row>
    <row r="443" customFormat="false" ht="15" hidden="false" customHeight="false" outlineLevel="0" collapsed="false">
      <c r="A443" s="39" t="n">
        <v>46216.9277777778</v>
      </c>
      <c r="B443" s="40" t="s">
        <v>33</v>
      </c>
      <c r="C443" s="41" t="s">
        <v>27</v>
      </c>
      <c r="D443" s="42" t="n">
        <v>19.36</v>
      </c>
      <c r="E443" s="43" t="n">
        <f aca="false">YEAR(A443)</f>
        <v>2026</v>
      </c>
      <c r="F443" s="43" t="n">
        <f aca="false">MONTH(A443)</f>
        <v>7</v>
      </c>
      <c r="G443" s="43" t="n">
        <f aca="false">E443*100+F443</f>
        <v>202607</v>
      </c>
      <c r="H443" s="43" t="str">
        <f aca="false">CHOOSE(F443,"Gen","Feb","Mar","Apr","Mag","Giu","Lug","Ago","Set","Ott","Nov","Dic")&amp;" "&amp;E443</f>
        <v>Lug 2026</v>
      </c>
      <c r="I443" s="43" t="n">
        <f aca="false">SUMPRODUCT(($A$2:$A$494&gt;A443)*1)+1</f>
        <v>52</v>
      </c>
      <c r="J443" s="43" t="str">
        <f aca="false">IF(G443=Supporto!$J$4,SUMPRODUCT(($G$2:$G$494=Supporto!$J$4)*($A$2:$A$494&gt;A443))+1,"")</f>
        <v/>
      </c>
    </row>
    <row r="444" customFormat="false" ht="15" hidden="false" customHeight="false" outlineLevel="0" collapsed="false">
      <c r="A444" s="39" t="n">
        <v>46217.6527777778</v>
      </c>
      <c r="B444" s="40" t="s">
        <v>36</v>
      </c>
      <c r="C444" s="41" t="s">
        <v>27</v>
      </c>
      <c r="D444" s="42" t="n">
        <v>19.45</v>
      </c>
      <c r="E444" s="43" t="n">
        <f aca="false">YEAR(A444)</f>
        <v>2026</v>
      </c>
      <c r="F444" s="43" t="n">
        <f aca="false">MONTH(A444)</f>
        <v>7</v>
      </c>
      <c r="G444" s="43" t="n">
        <f aca="false">E444*100+F444</f>
        <v>202607</v>
      </c>
      <c r="H444" s="43" t="str">
        <f aca="false">CHOOSE(F444,"Gen","Feb","Mar","Apr","Mag","Giu","Lug","Ago","Set","Ott","Nov","Dic")&amp;" "&amp;E444</f>
        <v>Lug 2026</v>
      </c>
      <c r="I444" s="43" t="n">
        <f aca="false">SUMPRODUCT(($A$2:$A$494&gt;A444)*1)+1</f>
        <v>51</v>
      </c>
      <c r="J444" s="43" t="str">
        <f aca="false">IF(G444=Supporto!$J$4,SUMPRODUCT(($G$2:$G$494=Supporto!$J$4)*($A$2:$A$494&gt;A444))+1,"")</f>
        <v/>
      </c>
    </row>
    <row r="445" customFormat="false" ht="15" hidden="false" customHeight="false" outlineLevel="0" collapsed="false">
      <c r="A445" s="39" t="n">
        <v>46219.5354166667</v>
      </c>
      <c r="B445" s="40" t="s">
        <v>26</v>
      </c>
      <c r="C445" s="41" t="s">
        <v>27</v>
      </c>
      <c r="D445" s="42" t="n">
        <v>18.96</v>
      </c>
      <c r="E445" s="43" t="n">
        <f aca="false">YEAR(A445)</f>
        <v>2026</v>
      </c>
      <c r="F445" s="43" t="n">
        <f aca="false">MONTH(A445)</f>
        <v>7</v>
      </c>
      <c r="G445" s="43" t="n">
        <f aca="false">E445*100+F445</f>
        <v>202607</v>
      </c>
      <c r="H445" s="43" t="str">
        <f aca="false">CHOOSE(F445,"Gen","Feb","Mar","Apr","Mag","Giu","Lug","Ago","Set","Ott","Nov","Dic")&amp;" "&amp;E445</f>
        <v>Lug 2026</v>
      </c>
      <c r="I445" s="43" t="n">
        <f aca="false">SUMPRODUCT(($A$2:$A$494&gt;A445)*1)+1</f>
        <v>50</v>
      </c>
      <c r="J445" s="43" t="str">
        <f aca="false">IF(G445=Supporto!$J$4,SUMPRODUCT(($G$2:$G$494=Supporto!$J$4)*($A$2:$A$494&gt;A445))+1,"")</f>
        <v/>
      </c>
    </row>
    <row r="446" customFormat="false" ht="15" hidden="false" customHeight="false" outlineLevel="0" collapsed="false">
      <c r="A446" s="39" t="n">
        <v>46220.6145833333</v>
      </c>
      <c r="B446" s="40" t="s">
        <v>28</v>
      </c>
      <c r="C446" s="41" t="s">
        <v>27</v>
      </c>
      <c r="D446" s="42" t="n">
        <v>12.69</v>
      </c>
      <c r="E446" s="43" t="n">
        <f aca="false">YEAR(A446)</f>
        <v>2026</v>
      </c>
      <c r="F446" s="43" t="n">
        <f aca="false">MONTH(A446)</f>
        <v>7</v>
      </c>
      <c r="G446" s="43" t="n">
        <f aca="false">E446*100+F446</f>
        <v>202607</v>
      </c>
      <c r="H446" s="43" t="str">
        <f aca="false">CHOOSE(F446,"Gen","Feb","Mar","Apr","Mag","Giu","Lug","Ago","Set","Ott","Nov","Dic")&amp;" "&amp;E446</f>
        <v>Lug 2026</v>
      </c>
      <c r="I446" s="43" t="n">
        <f aca="false">SUMPRODUCT(($A$2:$A$494&gt;A446)*1)+1</f>
        <v>49</v>
      </c>
      <c r="J446" s="43" t="str">
        <f aca="false">IF(G446=Supporto!$J$4,SUMPRODUCT(($G$2:$G$494=Supporto!$J$4)*($A$2:$A$494&gt;A446))+1,"")</f>
        <v/>
      </c>
    </row>
    <row r="447" customFormat="false" ht="15" hidden="false" customHeight="false" outlineLevel="0" collapsed="false">
      <c r="A447" s="39" t="n">
        <v>46221.6805555556</v>
      </c>
      <c r="B447" s="40" t="s">
        <v>35</v>
      </c>
      <c r="C447" s="41" t="s">
        <v>27</v>
      </c>
      <c r="D447" s="42" t="n">
        <v>80.29</v>
      </c>
      <c r="E447" s="43" t="n">
        <f aca="false">YEAR(A447)</f>
        <v>2026</v>
      </c>
      <c r="F447" s="43" t="n">
        <f aca="false">MONTH(A447)</f>
        <v>7</v>
      </c>
      <c r="G447" s="43" t="n">
        <f aca="false">E447*100+F447</f>
        <v>202607</v>
      </c>
      <c r="H447" s="43" t="str">
        <f aca="false">CHOOSE(F447,"Gen","Feb","Mar","Apr","Mag","Giu","Lug","Ago","Set","Ott","Nov","Dic")&amp;" "&amp;E447</f>
        <v>Lug 2026</v>
      </c>
      <c r="I447" s="43" t="n">
        <f aca="false">SUMPRODUCT(($A$2:$A$494&gt;A447)*1)+1</f>
        <v>48</v>
      </c>
      <c r="J447" s="43" t="str">
        <f aca="false">IF(G447=Supporto!$J$4,SUMPRODUCT(($G$2:$G$494=Supporto!$J$4)*($A$2:$A$494&gt;A447))+1,"")</f>
        <v/>
      </c>
    </row>
    <row r="448" customFormat="false" ht="15" hidden="false" customHeight="false" outlineLevel="0" collapsed="false">
      <c r="A448" s="39" t="n">
        <v>46221.7444444444</v>
      </c>
      <c r="B448" s="40" t="s">
        <v>26</v>
      </c>
      <c r="C448" s="41" t="s">
        <v>27</v>
      </c>
      <c r="D448" s="42" t="n">
        <v>26.17</v>
      </c>
      <c r="E448" s="43" t="n">
        <f aca="false">YEAR(A448)</f>
        <v>2026</v>
      </c>
      <c r="F448" s="43" t="n">
        <f aca="false">MONTH(A448)</f>
        <v>7</v>
      </c>
      <c r="G448" s="43" t="n">
        <f aca="false">E448*100+F448</f>
        <v>202607</v>
      </c>
      <c r="H448" s="43" t="str">
        <f aca="false">CHOOSE(F448,"Gen","Feb","Mar","Apr","Mag","Giu","Lug","Ago","Set","Ott","Nov","Dic")&amp;" "&amp;E448</f>
        <v>Lug 2026</v>
      </c>
      <c r="I448" s="43" t="n">
        <f aca="false">SUMPRODUCT(($A$2:$A$494&gt;A448)*1)+1</f>
        <v>47</v>
      </c>
      <c r="J448" s="43" t="str">
        <f aca="false">IF(G448=Supporto!$J$4,SUMPRODUCT(($G$2:$G$494=Supporto!$J$4)*($A$2:$A$494&gt;A448))+1,"")</f>
        <v/>
      </c>
    </row>
    <row r="449" customFormat="false" ht="15" hidden="false" customHeight="false" outlineLevel="0" collapsed="false">
      <c r="A449" s="39" t="n">
        <v>46224.5368055556</v>
      </c>
      <c r="B449" s="40" t="s">
        <v>26</v>
      </c>
      <c r="C449" s="41" t="s">
        <v>27</v>
      </c>
      <c r="D449" s="42" t="n">
        <v>64.88</v>
      </c>
      <c r="E449" s="43" t="n">
        <f aca="false">YEAR(A449)</f>
        <v>2026</v>
      </c>
      <c r="F449" s="43" t="n">
        <f aca="false">MONTH(A449)</f>
        <v>7</v>
      </c>
      <c r="G449" s="43" t="n">
        <f aca="false">E449*100+F449</f>
        <v>202607</v>
      </c>
      <c r="H449" s="43" t="str">
        <f aca="false">CHOOSE(F449,"Gen","Feb","Mar","Apr","Mag","Giu","Lug","Ago","Set","Ott","Nov","Dic")&amp;" "&amp;E449</f>
        <v>Lug 2026</v>
      </c>
      <c r="I449" s="43" t="n">
        <f aca="false">SUMPRODUCT(($A$2:$A$494&gt;A449)*1)+1</f>
        <v>46</v>
      </c>
      <c r="J449" s="43" t="str">
        <f aca="false">IF(G449=Supporto!$J$4,SUMPRODUCT(($G$2:$G$494=Supporto!$J$4)*($A$2:$A$494&gt;A449))+1,"")</f>
        <v/>
      </c>
    </row>
    <row r="450" customFormat="false" ht="15" hidden="false" customHeight="false" outlineLevel="0" collapsed="false">
      <c r="A450" s="39" t="n">
        <v>46224.7201388889</v>
      </c>
      <c r="B450" s="40" t="s">
        <v>33</v>
      </c>
      <c r="C450" s="41" t="s">
        <v>27</v>
      </c>
      <c r="D450" s="42" t="n">
        <v>13.43</v>
      </c>
      <c r="E450" s="43" t="n">
        <f aca="false">YEAR(A450)</f>
        <v>2026</v>
      </c>
      <c r="F450" s="43" t="n">
        <f aca="false">MONTH(A450)</f>
        <v>7</v>
      </c>
      <c r="G450" s="43" t="n">
        <f aca="false">E450*100+F450</f>
        <v>202607</v>
      </c>
      <c r="H450" s="43" t="str">
        <f aca="false">CHOOSE(F450,"Gen","Feb","Mar","Apr","Mag","Giu","Lug","Ago","Set","Ott","Nov","Dic")&amp;" "&amp;E450</f>
        <v>Lug 2026</v>
      </c>
      <c r="I450" s="43" t="n">
        <f aca="false">SUMPRODUCT(($A$2:$A$494&gt;A450)*1)+1</f>
        <v>45</v>
      </c>
      <c r="J450" s="43" t="str">
        <f aca="false">IF(G450=Supporto!$J$4,SUMPRODUCT(($G$2:$G$494=Supporto!$J$4)*($A$2:$A$494&gt;A450))+1,"")</f>
        <v/>
      </c>
    </row>
    <row r="451" customFormat="false" ht="15" hidden="false" customHeight="false" outlineLevel="0" collapsed="false">
      <c r="A451" s="39" t="n">
        <v>46224.8076388889</v>
      </c>
      <c r="B451" s="40" t="s">
        <v>34</v>
      </c>
      <c r="C451" s="41" t="s">
        <v>27</v>
      </c>
      <c r="D451" s="42" t="n">
        <v>43.86</v>
      </c>
      <c r="E451" s="43" t="n">
        <f aca="false">YEAR(A451)</f>
        <v>2026</v>
      </c>
      <c r="F451" s="43" t="n">
        <f aca="false">MONTH(A451)</f>
        <v>7</v>
      </c>
      <c r="G451" s="43" t="n">
        <f aca="false">E451*100+F451</f>
        <v>202607</v>
      </c>
      <c r="H451" s="43" t="str">
        <f aca="false">CHOOSE(F451,"Gen","Feb","Mar","Apr","Mag","Giu","Lug","Ago","Set","Ott","Nov","Dic")&amp;" "&amp;E451</f>
        <v>Lug 2026</v>
      </c>
      <c r="I451" s="43" t="n">
        <f aca="false">SUMPRODUCT(($A$2:$A$494&gt;A451)*1)+1</f>
        <v>44</v>
      </c>
      <c r="J451" s="43" t="str">
        <f aca="false">IF(G451=Supporto!$J$4,SUMPRODUCT(($G$2:$G$494=Supporto!$J$4)*($A$2:$A$494&gt;A451))+1,"")</f>
        <v/>
      </c>
    </row>
    <row r="452" customFormat="false" ht="15" hidden="false" customHeight="false" outlineLevel="0" collapsed="false">
      <c r="A452" s="39" t="n">
        <v>46225.6798611111</v>
      </c>
      <c r="B452" s="40" t="s">
        <v>38</v>
      </c>
      <c r="C452" s="41" t="s">
        <v>27</v>
      </c>
      <c r="D452" s="42" t="n">
        <v>74.1</v>
      </c>
      <c r="E452" s="43" t="n">
        <f aca="false">YEAR(A452)</f>
        <v>2026</v>
      </c>
      <c r="F452" s="43" t="n">
        <f aca="false">MONTH(A452)</f>
        <v>7</v>
      </c>
      <c r="G452" s="43" t="n">
        <f aca="false">E452*100+F452</f>
        <v>202607</v>
      </c>
      <c r="H452" s="43" t="str">
        <f aca="false">CHOOSE(F452,"Gen","Feb","Mar","Apr","Mag","Giu","Lug","Ago","Set","Ott","Nov","Dic")&amp;" "&amp;E452</f>
        <v>Lug 2026</v>
      </c>
      <c r="I452" s="43" t="n">
        <f aca="false">SUMPRODUCT(($A$2:$A$494&gt;A452)*1)+1</f>
        <v>43</v>
      </c>
      <c r="J452" s="43" t="str">
        <f aca="false">IF(G452=Supporto!$J$4,SUMPRODUCT(($G$2:$G$494=Supporto!$J$4)*($A$2:$A$494&gt;A452))+1,"")</f>
        <v/>
      </c>
    </row>
    <row r="453" customFormat="false" ht="15" hidden="false" customHeight="false" outlineLevel="0" collapsed="false">
      <c r="A453" s="39" t="n">
        <v>46225.8076388889</v>
      </c>
      <c r="B453" s="40" t="s">
        <v>36</v>
      </c>
      <c r="C453" s="41" t="s">
        <v>27</v>
      </c>
      <c r="D453" s="42" t="n">
        <v>38.77</v>
      </c>
      <c r="E453" s="43" t="n">
        <f aca="false">YEAR(A453)</f>
        <v>2026</v>
      </c>
      <c r="F453" s="43" t="n">
        <f aca="false">MONTH(A453)</f>
        <v>7</v>
      </c>
      <c r="G453" s="43" t="n">
        <f aca="false">E453*100+F453</f>
        <v>202607</v>
      </c>
      <c r="H453" s="43" t="str">
        <f aca="false">CHOOSE(F453,"Gen","Feb","Mar","Apr","Mag","Giu","Lug","Ago","Set","Ott","Nov","Dic")&amp;" "&amp;E453</f>
        <v>Lug 2026</v>
      </c>
      <c r="I453" s="43" t="n">
        <f aca="false">SUMPRODUCT(($A$2:$A$494&gt;A453)*1)+1</f>
        <v>42</v>
      </c>
      <c r="J453" s="43" t="str">
        <f aca="false">IF(G453=Supporto!$J$4,SUMPRODUCT(($G$2:$G$494=Supporto!$J$4)*($A$2:$A$494&gt;A453))+1,"")</f>
        <v/>
      </c>
    </row>
    <row r="454" customFormat="false" ht="15" hidden="false" customHeight="false" outlineLevel="0" collapsed="false">
      <c r="A454" s="39" t="n">
        <v>46227.7770833333</v>
      </c>
      <c r="B454" s="40" t="s">
        <v>36</v>
      </c>
      <c r="C454" s="41" t="s">
        <v>27</v>
      </c>
      <c r="D454" s="42" t="n">
        <v>11.69</v>
      </c>
      <c r="E454" s="43" t="n">
        <f aca="false">YEAR(A454)</f>
        <v>2026</v>
      </c>
      <c r="F454" s="43" t="n">
        <f aca="false">MONTH(A454)</f>
        <v>7</v>
      </c>
      <c r="G454" s="43" t="n">
        <f aca="false">E454*100+F454</f>
        <v>202607</v>
      </c>
      <c r="H454" s="43" t="str">
        <f aca="false">CHOOSE(F454,"Gen","Feb","Mar","Apr","Mag","Giu","Lug","Ago","Set","Ott","Nov","Dic")&amp;" "&amp;E454</f>
        <v>Lug 2026</v>
      </c>
      <c r="I454" s="43" t="n">
        <f aca="false">SUMPRODUCT(($A$2:$A$494&gt;A454)*1)+1</f>
        <v>41</v>
      </c>
      <c r="J454" s="43" t="str">
        <f aca="false">IF(G454=Supporto!$J$4,SUMPRODUCT(($G$2:$G$494=Supporto!$J$4)*($A$2:$A$494&gt;A454))+1,"")</f>
        <v/>
      </c>
    </row>
    <row r="455" customFormat="false" ht="15" hidden="false" customHeight="false" outlineLevel="0" collapsed="false">
      <c r="A455" s="39" t="n">
        <v>46227.8381944444</v>
      </c>
      <c r="B455" s="40" t="s">
        <v>29</v>
      </c>
      <c r="C455" s="41" t="s">
        <v>27</v>
      </c>
      <c r="D455" s="42" t="n">
        <v>67.64</v>
      </c>
      <c r="E455" s="43" t="n">
        <f aca="false">YEAR(A455)</f>
        <v>2026</v>
      </c>
      <c r="F455" s="43" t="n">
        <f aca="false">MONTH(A455)</f>
        <v>7</v>
      </c>
      <c r="G455" s="43" t="n">
        <f aca="false">E455*100+F455</f>
        <v>202607</v>
      </c>
      <c r="H455" s="43" t="str">
        <f aca="false">CHOOSE(F455,"Gen","Feb","Mar","Apr","Mag","Giu","Lug","Ago","Set","Ott","Nov","Dic")&amp;" "&amp;E455</f>
        <v>Lug 2026</v>
      </c>
      <c r="I455" s="43" t="n">
        <f aca="false">SUMPRODUCT(($A$2:$A$494&gt;A455)*1)+1</f>
        <v>40</v>
      </c>
      <c r="J455" s="43" t="str">
        <f aca="false">IF(G455=Supporto!$J$4,SUMPRODUCT(($G$2:$G$494=Supporto!$J$4)*($A$2:$A$494&gt;A455))+1,"")</f>
        <v/>
      </c>
    </row>
    <row r="456" customFormat="false" ht="15" hidden="false" customHeight="false" outlineLevel="0" collapsed="false">
      <c r="A456" s="39" t="n">
        <v>46228.6770833333</v>
      </c>
      <c r="B456" s="40" t="s">
        <v>29</v>
      </c>
      <c r="C456" s="41" t="s">
        <v>27</v>
      </c>
      <c r="D456" s="42" t="n">
        <v>67.93</v>
      </c>
      <c r="E456" s="43" t="n">
        <f aca="false">YEAR(A456)</f>
        <v>2026</v>
      </c>
      <c r="F456" s="43" t="n">
        <f aca="false">MONTH(A456)</f>
        <v>7</v>
      </c>
      <c r="G456" s="43" t="n">
        <f aca="false">E456*100+F456</f>
        <v>202607</v>
      </c>
      <c r="H456" s="43" t="str">
        <f aca="false">CHOOSE(F456,"Gen","Feb","Mar","Apr","Mag","Giu","Lug","Ago","Set","Ott","Nov","Dic")&amp;" "&amp;E456</f>
        <v>Lug 2026</v>
      </c>
      <c r="I456" s="43" t="n">
        <f aca="false">SUMPRODUCT(($A$2:$A$494&gt;A456)*1)+1</f>
        <v>39</v>
      </c>
      <c r="J456" s="43" t="str">
        <f aca="false">IF(G456=Supporto!$J$4,SUMPRODUCT(($G$2:$G$494=Supporto!$J$4)*($A$2:$A$494&gt;A456))+1,"")</f>
        <v/>
      </c>
    </row>
    <row r="457" customFormat="false" ht="15" hidden="false" customHeight="false" outlineLevel="0" collapsed="false">
      <c r="A457" s="39" t="n">
        <v>46228.9055555556</v>
      </c>
      <c r="B457" s="40" t="s">
        <v>26</v>
      </c>
      <c r="C457" s="41" t="s">
        <v>27</v>
      </c>
      <c r="D457" s="42" t="n">
        <v>14.32</v>
      </c>
      <c r="E457" s="43" t="n">
        <f aca="false">YEAR(A457)</f>
        <v>2026</v>
      </c>
      <c r="F457" s="43" t="n">
        <f aca="false">MONTH(A457)</f>
        <v>7</v>
      </c>
      <c r="G457" s="43" t="n">
        <f aca="false">E457*100+F457</f>
        <v>202607</v>
      </c>
      <c r="H457" s="43" t="str">
        <f aca="false">CHOOSE(F457,"Gen","Feb","Mar","Apr","Mag","Giu","Lug","Ago","Set","Ott","Nov","Dic")&amp;" "&amp;E457</f>
        <v>Lug 2026</v>
      </c>
      <c r="I457" s="43" t="n">
        <f aca="false">SUMPRODUCT(($A$2:$A$494&gt;A457)*1)+1</f>
        <v>38</v>
      </c>
      <c r="J457" s="43" t="str">
        <f aca="false">IF(G457=Supporto!$J$4,SUMPRODUCT(($G$2:$G$494=Supporto!$J$4)*($A$2:$A$494&gt;A457))+1,"")</f>
        <v/>
      </c>
    </row>
    <row r="458" customFormat="false" ht="15" hidden="false" customHeight="false" outlineLevel="0" collapsed="false">
      <c r="A458" s="39" t="n">
        <v>46229.3361111111</v>
      </c>
      <c r="B458" s="40" t="s">
        <v>36</v>
      </c>
      <c r="C458" s="41" t="s">
        <v>27</v>
      </c>
      <c r="D458" s="42" t="n">
        <v>3</v>
      </c>
      <c r="E458" s="43" t="n">
        <f aca="false">YEAR(A458)</f>
        <v>2026</v>
      </c>
      <c r="F458" s="43" t="n">
        <f aca="false">MONTH(A458)</f>
        <v>7</v>
      </c>
      <c r="G458" s="43" t="n">
        <f aca="false">E458*100+F458</f>
        <v>202607</v>
      </c>
      <c r="H458" s="43" t="str">
        <f aca="false">CHOOSE(F458,"Gen","Feb","Mar","Apr","Mag","Giu","Lug","Ago","Set","Ott","Nov","Dic")&amp;" "&amp;E458</f>
        <v>Lug 2026</v>
      </c>
      <c r="I458" s="43" t="n">
        <f aca="false">SUMPRODUCT(($A$2:$A$494&gt;A458)*1)+1</f>
        <v>37</v>
      </c>
      <c r="J458" s="43" t="str">
        <f aca="false">IF(G458=Supporto!$J$4,SUMPRODUCT(($G$2:$G$494=Supporto!$J$4)*($A$2:$A$494&gt;A458))+1,"")</f>
        <v/>
      </c>
    </row>
    <row r="459" customFormat="false" ht="15" hidden="false" customHeight="false" outlineLevel="0" collapsed="false">
      <c r="A459" s="39" t="n">
        <v>46229.6604166667</v>
      </c>
      <c r="B459" s="40" t="s">
        <v>39</v>
      </c>
      <c r="C459" s="41" t="s">
        <v>27</v>
      </c>
      <c r="D459" s="42" t="n">
        <v>20.11</v>
      </c>
      <c r="E459" s="43" t="n">
        <f aca="false">YEAR(A459)</f>
        <v>2026</v>
      </c>
      <c r="F459" s="43" t="n">
        <f aca="false">MONTH(A459)</f>
        <v>7</v>
      </c>
      <c r="G459" s="43" t="n">
        <f aca="false">E459*100+F459</f>
        <v>202607</v>
      </c>
      <c r="H459" s="43" t="str">
        <f aca="false">CHOOSE(F459,"Gen","Feb","Mar","Apr","Mag","Giu","Lug","Ago","Set","Ott","Nov","Dic")&amp;" "&amp;E459</f>
        <v>Lug 2026</v>
      </c>
      <c r="I459" s="43" t="n">
        <f aca="false">SUMPRODUCT(($A$2:$A$494&gt;A459)*1)+1</f>
        <v>36</v>
      </c>
      <c r="J459" s="43" t="str">
        <f aca="false">IF(G459=Supporto!$J$4,SUMPRODUCT(($G$2:$G$494=Supporto!$J$4)*($A$2:$A$494&gt;A459))+1,"")</f>
        <v/>
      </c>
    </row>
    <row r="460" customFormat="false" ht="15" hidden="false" customHeight="false" outlineLevel="0" collapsed="false">
      <c r="A460" s="39" t="n">
        <v>46229.8777777778</v>
      </c>
      <c r="B460" s="40" t="s">
        <v>29</v>
      </c>
      <c r="C460" s="41" t="s">
        <v>27</v>
      </c>
      <c r="D460" s="42" t="n">
        <v>39.1</v>
      </c>
      <c r="E460" s="43" t="n">
        <f aca="false">YEAR(A460)</f>
        <v>2026</v>
      </c>
      <c r="F460" s="43" t="n">
        <f aca="false">MONTH(A460)</f>
        <v>7</v>
      </c>
      <c r="G460" s="43" t="n">
        <f aca="false">E460*100+F460</f>
        <v>202607</v>
      </c>
      <c r="H460" s="43" t="str">
        <f aca="false">CHOOSE(F460,"Gen","Feb","Mar","Apr","Mag","Giu","Lug","Ago","Set","Ott","Nov","Dic")&amp;" "&amp;E460</f>
        <v>Lug 2026</v>
      </c>
      <c r="I460" s="43" t="n">
        <f aca="false">SUMPRODUCT(($A$2:$A$494&gt;A460)*1)+1</f>
        <v>35</v>
      </c>
      <c r="J460" s="43" t="str">
        <f aca="false">IF(G460=Supporto!$J$4,SUMPRODUCT(($G$2:$G$494=Supporto!$J$4)*($A$2:$A$494&gt;A460))+1,"")</f>
        <v/>
      </c>
    </row>
    <row r="461" customFormat="false" ht="15" hidden="false" customHeight="false" outlineLevel="0" collapsed="false">
      <c r="A461" s="39" t="n">
        <v>46230.375</v>
      </c>
      <c r="B461" s="40" t="s">
        <v>40</v>
      </c>
      <c r="C461" s="41" t="s">
        <v>32</v>
      </c>
      <c r="D461" s="42" t="n">
        <v>2436.17</v>
      </c>
      <c r="E461" s="43" t="n">
        <f aca="false">YEAR(A461)</f>
        <v>2026</v>
      </c>
      <c r="F461" s="43" t="n">
        <f aca="false">MONTH(A461)</f>
        <v>7</v>
      </c>
      <c r="G461" s="43" t="n">
        <f aca="false">E461*100+F461</f>
        <v>202607</v>
      </c>
      <c r="H461" s="43" t="str">
        <f aca="false">CHOOSE(F461,"Gen","Feb","Mar","Apr","Mag","Giu","Lug","Ago","Set","Ott","Nov","Dic")&amp;" "&amp;E461</f>
        <v>Lug 2026</v>
      </c>
      <c r="I461" s="43" t="n">
        <f aca="false">SUMPRODUCT(($A$2:$A$494&gt;A461)*1)+1</f>
        <v>34</v>
      </c>
      <c r="J461" s="43" t="str">
        <f aca="false">IF(G461=Supporto!$J$4,SUMPRODUCT(($G$2:$G$494=Supporto!$J$4)*($A$2:$A$494&gt;A461))+1,"")</f>
        <v/>
      </c>
    </row>
    <row r="462" customFormat="false" ht="15" hidden="false" customHeight="false" outlineLevel="0" collapsed="false">
      <c r="A462" s="39" t="n">
        <v>46230.3784722222</v>
      </c>
      <c r="B462" s="40" t="s">
        <v>41</v>
      </c>
      <c r="C462" s="41" t="s">
        <v>32</v>
      </c>
      <c r="D462" s="42" t="n">
        <v>2017.84</v>
      </c>
      <c r="E462" s="43" t="n">
        <f aca="false">YEAR(A462)</f>
        <v>2026</v>
      </c>
      <c r="F462" s="43" t="n">
        <f aca="false">MONTH(A462)</f>
        <v>7</v>
      </c>
      <c r="G462" s="43" t="n">
        <f aca="false">E462*100+F462</f>
        <v>202607</v>
      </c>
      <c r="H462" s="43" t="str">
        <f aca="false">CHOOSE(F462,"Gen","Feb","Mar","Apr","Mag","Giu","Lug","Ago","Set","Ott","Nov","Dic")&amp;" "&amp;E462</f>
        <v>Lug 2026</v>
      </c>
      <c r="I462" s="43" t="n">
        <f aca="false">SUMPRODUCT(($A$2:$A$494&gt;A462)*1)+1</f>
        <v>33</v>
      </c>
      <c r="J462" s="43" t="str">
        <f aca="false">IF(G462=Supporto!$J$4,SUMPRODUCT(($G$2:$G$494=Supporto!$J$4)*($A$2:$A$494&gt;A462))+1,"")</f>
        <v/>
      </c>
    </row>
    <row r="463" customFormat="false" ht="15" hidden="false" customHeight="false" outlineLevel="0" collapsed="false">
      <c r="A463" s="39" t="n">
        <v>46231.9180555556</v>
      </c>
      <c r="B463" s="40" t="s">
        <v>34</v>
      </c>
      <c r="C463" s="41" t="s">
        <v>27</v>
      </c>
      <c r="D463" s="42" t="n">
        <v>81.81</v>
      </c>
      <c r="E463" s="43" t="n">
        <f aca="false">YEAR(A463)</f>
        <v>2026</v>
      </c>
      <c r="F463" s="43" t="n">
        <f aca="false">MONTH(A463)</f>
        <v>7</v>
      </c>
      <c r="G463" s="43" t="n">
        <f aca="false">E463*100+F463</f>
        <v>202607</v>
      </c>
      <c r="H463" s="43" t="str">
        <f aca="false">CHOOSE(F463,"Gen","Feb","Mar","Apr","Mag","Giu","Lug","Ago","Set","Ott","Nov","Dic")&amp;" "&amp;E463</f>
        <v>Lug 2026</v>
      </c>
      <c r="I463" s="43" t="n">
        <f aca="false">SUMPRODUCT(($A$2:$A$494&gt;A463)*1)+1</f>
        <v>32</v>
      </c>
      <c r="J463" s="43" t="str">
        <f aca="false">IF(G463=Supporto!$J$4,SUMPRODUCT(($G$2:$G$494=Supporto!$J$4)*($A$2:$A$494&gt;A463))+1,"")</f>
        <v/>
      </c>
    </row>
    <row r="464" customFormat="false" ht="15" hidden="false" customHeight="false" outlineLevel="0" collapsed="false">
      <c r="A464" s="39" t="n">
        <v>46235.5215277778</v>
      </c>
      <c r="B464" s="40" t="s">
        <v>28</v>
      </c>
      <c r="C464" s="41" t="s">
        <v>27</v>
      </c>
      <c r="D464" s="42" t="n">
        <v>845.17</v>
      </c>
      <c r="E464" s="43" t="n">
        <f aca="false">YEAR(A464)</f>
        <v>2026</v>
      </c>
      <c r="F464" s="43" t="n">
        <f aca="false">MONTH(A464)</f>
        <v>8</v>
      </c>
      <c r="G464" s="43" t="n">
        <f aca="false">E464*100+F464</f>
        <v>202608</v>
      </c>
      <c r="H464" s="43" t="str">
        <f aca="false">CHOOSE(F464,"Gen","Feb","Mar","Apr","Mag","Giu","Lug","Ago","Set","Ott","Nov","Dic")&amp;" "&amp;E464</f>
        <v>Ago 2026</v>
      </c>
      <c r="I464" s="43" t="n">
        <f aca="false">SUMPRODUCT(($A$2:$A$494&gt;A464)*1)+1</f>
        <v>31</v>
      </c>
      <c r="J464" s="43" t="n">
        <f aca="false">IF(G464=Supporto!$J$4,SUMPRODUCT(($G$2:$G$494=Supporto!$J$4)*($A$2:$A$494&gt;A464))+1,"")</f>
        <v>31</v>
      </c>
    </row>
    <row r="465" customFormat="false" ht="15" hidden="false" customHeight="false" outlineLevel="0" collapsed="false">
      <c r="A465" s="39" t="n">
        <v>46235.7708333333</v>
      </c>
      <c r="B465" s="40" t="s">
        <v>31</v>
      </c>
      <c r="C465" s="41" t="s">
        <v>32</v>
      </c>
      <c r="D465" s="42" t="n">
        <v>48.56</v>
      </c>
      <c r="E465" s="43" t="n">
        <f aca="false">YEAR(A465)</f>
        <v>2026</v>
      </c>
      <c r="F465" s="43" t="n">
        <f aca="false">MONTH(A465)</f>
        <v>8</v>
      </c>
      <c r="G465" s="43" t="n">
        <f aca="false">E465*100+F465</f>
        <v>202608</v>
      </c>
      <c r="H465" s="43" t="str">
        <f aca="false">CHOOSE(F465,"Gen","Feb","Mar","Apr","Mag","Giu","Lug","Ago","Set","Ott","Nov","Dic")&amp;" "&amp;E465</f>
        <v>Ago 2026</v>
      </c>
      <c r="I465" s="43" t="n">
        <f aca="false">SUMPRODUCT(($A$2:$A$494&gt;A465)*1)+1</f>
        <v>30</v>
      </c>
      <c r="J465" s="43" t="n">
        <f aca="false">IF(G465=Supporto!$J$4,SUMPRODUCT(($G$2:$G$494=Supporto!$J$4)*($A$2:$A$494&gt;A465))+1,"")</f>
        <v>30</v>
      </c>
    </row>
    <row r="466" customFormat="false" ht="15" hidden="false" customHeight="false" outlineLevel="0" collapsed="false">
      <c r="A466" s="39" t="n">
        <v>46237.3881944444</v>
      </c>
      <c r="B466" s="40" t="s">
        <v>33</v>
      </c>
      <c r="C466" s="41" t="s">
        <v>27</v>
      </c>
      <c r="D466" s="42" t="n">
        <v>9.87</v>
      </c>
      <c r="E466" s="43" t="n">
        <f aca="false">YEAR(A466)</f>
        <v>2026</v>
      </c>
      <c r="F466" s="43" t="n">
        <f aca="false">MONTH(A466)</f>
        <v>8</v>
      </c>
      <c r="G466" s="43" t="n">
        <f aca="false">E466*100+F466</f>
        <v>202608</v>
      </c>
      <c r="H466" s="43" t="str">
        <f aca="false">CHOOSE(F466,"Gen","Feb","Mar","Apr","Mag","Giu","Lug","Ago","Set","Ott","Nov","Dic")&amp;" "&amp;E466</f>
        <v>Ago 2026</v>
      </c>
      <c r="I466" s="43" t="n">
        <f aca="false">SUMPRODUCT(($A$2:$A$494&gt;A466)*1)+1</f>
        <v>29</v>
      </c>
      <c r="J466" s="43" t="n">
        <f aca="false">IF(G466=Supporto!$J$4,SUMPRODUCT(($G$2:$G$494=Supporto!$J$4)*($A$2:$A$494&gt;A466))+1,"")</f>
        <v>29</v>
      </c>
    </row>
    <row r="467" customFormat="false" ht="15" hidden="false" customHeight="false" outlineLevel="0" collapsed="false">
      <c r="A467" s="39" t="n">
        <v>46237.48125</v>
      </c>
      <c r="B467" s="40" t="s">
        <v>29</v>
      </c>
      <c r="C467" s="41" t="s">
        <v>27</v>
      </c>
      <c r="D467" s="42" t="n">
        <v>164.95</v>
      </c>
      <c r="E467" s="43" t="n">
        <f aca="false">YEAR(A467)</f>
        <v>2026</v>
      </c>
      <c r="F467" s="43" t="n">
        <f aca="false">MONTH(A467)</f>
        <v>8</v>
      </c>
      <c r="G467" s="43" t="n">
        <f aca="false">E467*100+F467</f>
        <v>202608</v>
      </c>
      <c r="H467" s="43" t="str">
        <f aca="false">CHOOSE(F467,"Gen","Feb","Mar","Apr","Mag","Giu","Lug","Ago","Set","Ott","Nov","Dic")&amp;" "&amp;E467</f>
        <v>Ago 2026</v>
      </c>
      <c r="I467" s="43" t="n">
        <f aca="false">SUMPRODUCT(($A$2:$A$494&gt;A467)*1)+1</f>
        <v>28</v>
      </c>
      <c r="J467" s="43" t="n">
        <f aca="false">IF(G467=Supporto!$J$4,SUMPRODUCT(($G$2:$G$494=Supporto!$J$4)*($A$2:$A$494&gt;A467))+1,"")</f>
        <v>28</v>
      </c>
    </row>
    <row r="468" customFormat="false" ht="15" hidden="false" customHeight="false" outlineLevel="0" collapsed="false">
      <c r="A468" s="39" t="n">
        <v>46237.8826388889</v>
      </c>
      <c r="B468" s="40" t="s">
        <v>34</v>
      </c>
      <c r="C468" s="41" t="s">
        <v>27</v>
      </c>
      <c r="D468" s="42" t="n">
        <v>12.95</v>
      </c>
      <c r="E468" s="43" t="n">
        <f aca="false">YEAR(A468)</f>
        <v>2026</v>
      </c>
      <c r="F468" s="43" t="n">
        <f aca="false">MONTH(A468)</f>
        <v>8</v>
      </c>
      <c r="G468" s="43" t="n">
        <f aca="false">E468*100+F468</f>
        <v>202608</v>
      </c>
      <c r="H468" s="43" t="str">
        <f aca="false">CHOOSE(F468,"Gen","Feb","Mar","Apr","Mag","Giu","Lug","Ago","Set","Ott","Nov","Dic")&amp;" "&amp;E468</f>
        <v>Ago 2026</v>
      </c>
      <c r="I468" s="43" t="n">
        <f aca="false">SUMPRODUCT(($A$2:$A$494&gt;A468)*1)+1</f>
        <v>27</v>
      </c>
      <c r="J468" s="43" t="n">
        <f aca="false">IF(G468=Supporto!$J$4,SUMPRODUCT(($G$2:$G$494=Supporto!$J$4)*($A$2:$A$494&gt;A468))+1,"")</f>
        <v>27</v>
      </c>
    </row>
    <row r="469" customFormat="false" ht="15" hidden="false" customHeight="false" outlineLevel="0" collapsed="false">
      <c r="A469" s="39" t="n">
        <v>46238.4958333333</v>
      </c>
      <c r="B469" s="40" t="s">
        <v>34</v>
      </c>
      <c r="C469" s="41" t="s">
        <v>27</v>
      </c>
      <c r="D469" s="42" t="n">
        <v>55.84</v>
      </c>
      <c r="E469" s="43" t="n">
        <f aca="false">YEAR(A469)</f>
        <v>2026</v>
      </c>
      <c r="F469" s="43" t="n">
        <f aca="false">MONTH(A469)</f>
        <v>8</v>
      </c>
      <c r="G469" s="43" t="n">
        <f aca="false">E469*100+F469</f>
        <v>202608</v>
      </c>
      <c r="H469" s="43" t="str">
        <f aca="false">CHOOSE(F469,"Gen","Feb","Mar","Apr","Mag","Giu","Lug","Ago","Set","Ott","Nov","Dic")&amp;" "&amp;E469</f>
        <v>Ago 2026</v>
      </c>
      <c r="I469" s="43" t="n">
        <f aca="false">SUMPRODUCT(($A$2:$A$494&gt;A469)*1)+1</f>
        <v>26</v>
      </c>
      <c r="J469" s="43" t="n">
        <f aca="false">IF(G469=Supporto!$J$4,SUMPRODUCT(($G$2:$G$494=Supporto!$J$4)*($A$2:$A$494&gt;A469))+1,"")</f>
        <v>26</v>
      </c>
    </row>
    <row r="470" customFormat="false" ht="15" hidden="false" customHeight="false" outlineLevel="0" collapsed="false">
      <c r="A470" s="39" t="n">
        <v>46239.8555555556</v>
      </c>
      <c r="B470" s="40" t="s">
        <v>30</v>
      </c>
      <c r="C470" s="41" t="s">
        <v>27</v>
      </c>
      <c r="D470" s="42" t="n">
        <v>73.01</v>
      </c>
      <c r="E470" s="43" t="n">
        <f aca="false">YEAR(A470)</f>
        <v>2026</v>
      </c>
      <c r="F470" s="43" t="n">
        <f aca="false">MONTH(A470)</f>
        <v>8</v>
      </c>
      <c r="G470" s="43" t="n">
        <f aca="false">E470*100+F470</f>
        <v>202608</v>
      </c>
      <c r="H470" s="43" t="str">
        <f aca="false">CHOOSE(F470,"Gen","Feb","Mar","Apr","Mag","Giu","Lug","Ago","Set","Ott","Nov","Dic")&amp;" "&amp;E470</f>
        <v>Ago 2026</v>
      </c>
      <c r="I470" s="43" t="n">
        <f aca="false">SUMPRODUCT(($A$2:$A$494&gt;A470)*1)+1</f>
        <v>25</v>
      </c>
      <c r="J470" s="43" t="n">
        <f aca="false">IF(G470=Supporto!$J$4,SUMPRODUCT(($G$2:$G$494=Supporto!$J$4)*($A$2:$A$494&gt;A470))+1,"")</f>
        <v>25</v>
      </c>
    </row>
    <row r="471" customFormat="false" ht="15" hidden="false" customHeight="false" outlineLevel="0" collapsed="false">
      <c r="A471" s="39" t="n">
        <v>46239.8909722222</v>
      </c>
      <c r="B471" s="40" t="s">
        <v>29</v>
      </c>
      <c r="C471" s="41" t="s">
        <v>27</v>
      </c>
      <c r="D471" s="42" t="n">
        <v>63.97</v>
      </c>
      <c r="E471" s="43" t="n">
        <f aca="false">YEAR(A471)</f>
        <v>2026</v>
      </c>
      <c r="F471" s="43" t="n">
        <f aca="false">MONTH(A471)</f>
        <v>8</v>
      </c>
      <c r="G471" s="43" t="n">
        <f aca="false">E471*100+F471</f>
        <v>202608</v>
      </c>
      <c r="H471" s="43" t="str">
        <f aca="false">CHOOSE(F471,"Gen","Feb","Mar","Apr","Mag","Giu","Lug","Ago","Set","Ott","Nov","Dic")&amp;" "&amp;E471</f>
        <v>Ago 2026</v>
      </c>
      <c r="I471" s="43" t="n">
        <f aca="false">SUMPRODUCT(($A$2:$A$494&gt;A471)*1)+1</f>
        <v>24</v>
      </c>
      <c r="J471" s="43" t="n">
        <f aca="false">IF(G471=Supporto!$J$4,SUMPRODUCT(($G$2:$G$494=Supporto!$J$4)*($A$2:$A$494&gt;A471))+1,"")</f>
        <v>24</v>
      </c>
    </row>
    <row r="472" customFormat="false" ht="15" hidden="false" customHeight="false" outlineLevel="0" collapsed="false">
      <c r="A472" s="39" t="n">
        <v>46240.5347222222</v>
      </c>
      <c r="B472" s="40" t="s">
        <v>26</v>
      </c>
      <c r="C472" s="41" t="s">
        <v>27</v>
      </c>
      <c r="D472" s="42" t="n">
        <v>37.35</v>
      </c>
      <c r="E472" s="43" t="n">
        <f aca="false">YEAR(A472)</f>
        <v>2026</v>
      </c>
      <c r="F472" s="43" t="n">
        <f aca="false">MONTH(A472)</f>
        <v>8</v>
      </c>
      <c r="G472" s="43" t="n">
        <f aca="false">E472*100+F472</f>
        <v>202608</v>
      </c>
      <c r="H472" s="43" t="str">
        <f aca="false">CHOOSE(F472,"Gen","Feb","Mar","Apr","Mag","Giu","Lug","Ago","Set","Ott","Nov","Dic")&amp;" "&amp;E472</f>
        <v>Ago 2026</v>
      </c>
      <c r="I472" s="43" t="n">
        <f aca="false">SUMPRODUCT(($A$2:$A$494&gt;A472)*1)+1</f>
        <v>23</v>
      </c>
      <c r="J472" s="43" t="n">
        <f aca="false">IF(G472=Supporto!$J$4,SUMPRODUCT(($G$2:$G$494=Supporto!$J$4)*($A$2:$A$494&gt;A472))+1,"")</f>
        <v>23</v>
      </c>
    </row>
    <row r="473" customFormat="false" ht="15" hidden="false" customHeight="false" outlineLevel="0" collapsed="false">
      <c r="A473" s="39" t="n">
        <v>46240.7493055556</v>
      </c>
      <c r="B473" s="40" t="s">
        <v>35</v>
      </c>
      <c r="C473" s="41" t="s">
        <v>27</v>
      </c>
      <c r="D473" s="42" t="n">
        <v>41.42</v>
      </c>
      <c r="E473" s="43" t="n">
        <f aca="false">YEAR(A473)</f>
        <v>2026</v>
      </c>
      <c r="F473" s="43" t="n">
        <f aca="false">MONTH(A473)</f>
        <v>8</v>
      </c>
      <c r="G473" s="43" t="n">
        <f aca="false">E473*100+F473</f>
        <v>202608</v>
      </c>
      <c r="H473" s="43" t="str">
        <f aca="false">CHOOSE(F473,"Gen","Feb","Mar","Apr","Mag","Giu","Lug","Ago","Set","Ott","Nov","Dic")&amp;" "&amp;E473</f>
        <v>Ago 2026</v>
      </c>
      <c r="I473" s="43" t="n">
        <f aca="false">SUMPRODUCT(($A$2:$A$494&gt;A473)*1)+1</f>
        <v>22</v>
      </c>
      <c r="J473" s="43" t="n">
        <f aca="false">IF(G473=Supporto!$J$4,SUMPRODUCT(($G$2:$G$494=Supporto!$J$4)*($A$2:$A$494&gt;A473))+1,"")</f>
        <v>22</v>
      </c>
    </row>
    <row r="474" customFormat="false" ht="15" hidden="false" customHeight="false" outlineLevel="0" collapsed="false">
      <c r="A474" s="39" t="n">
        <v>46241.46875</v>
      </c>
      <c r="B474" s="40" t="s">
        <v>26</v>
      </c>
      <c r="C474" s="41" t="s">
        <v>27</v>
      </c>
      <c r="D474" s="42" t="n">
        <v>32.17</v>
      </c>
      <c r="E474" s="43" t="n">
        <f aca="false">YEAR(A474)</f>
        <v>2026</v>
      </c>
      <c r="F474" s="43" t="n">
        <f aca="false">MONTH(A474)</f>
        <v>8</v>
      </c>
      <c r="G474" s="43" t="n">
        <f aca="false">E474*100+F474</f>
        <v>202608</v>
      </c>
      <c r="H474" s="43" t="str">
        <f aca="false">CHOOSE(F474,"Gen","Feb","Mar","Apr","Mag","Giu","Lug","Ago","Set","Ott","Nov","Dic")&amp;" "&amp;E474</f>
        <v>Ago 2026</v>
      </c>
      <c r="I474" s="43" t="n">
        <f aca="false">SUMPRODUCT(($A$2:$A$494&gt;A474)*1)+1</f>
        <v>21</v>
      </c>
      <c r="J474" s="43" t="n">
        <f aca="false">IF(G474=Supporto!$J$4,SUMPRODUCT(($G$2:$G$494=Supporto!$J$4)*($A$2:$A$494&gt;A474))+1,"")</f>
        <v>21</v>
      </c>
    </row>
    <row r="475" customFormat="false" ht="15" hidden="false" customHeight="false" outlineLevel="0" collapsed="false">
      <c r="A475" s="39" t="n">
        <v>46246.5881944444</v>
      </c>
      <c r="B475" s="40" t="s">
        <v>26</v>
      </c>
      <c r="C475" s="41" t="s">
        <v>27</v>
      </c>
      <c r="D475" s="42" t="n">
        <v>3</v>
      </c>
      <c r="E475" s="43" t="n">
        <f aca="false">YEAR(A475)</f>
        <v>2026</v>
      </c>
      <c r="F475" s="43" t="n">
        <f aca="false">MONTH(A475)</f>
        <v>8</v>
      </c>
      <c r="G475" s="43" t="n">
        <f aca="false">E475*100+F475</f>
        <v>202608</v>
      </c>
      <c r="H475" s="43" t="str">
        <f aca="false">CHOOSE(F475,"Gen","Feb","Mar","Apr","Mag","Giu","Lug","Ago","Set","Ott","Nov","Dic")&amp;" "&amp;E475</f>
        <v>Ago 2026</v>
      </c>
      <c r="I475" s="43" t="n">
        <f aca="false">SUMPRODUCT(($A$2:$A$494&gt;A475)*1)+1</f>
        <v>20</v>
      </c>
      <c r="J475" s="43" t="n">
        <f aca="false">IF(G475=Supporto!$J$4,SUMPRODUCT(($G$2:$G$494=Supporto!$J$4)*($A$2:$A$494&gt;A475))+1,"")</f>
        <v>20</v>
      </c>
    </row>
    <row r="476" customFormat="false" ht="15" hidden="false" customHeight="false" outlineLevel="0" collapsed="false">
      <c r="A476" s="39" t="n">
        <v>46246.8055555556</v>
      </c>
      <c r="B476" s="40" t="s">
        <v>29</v>
      </c>
      <c r="C476" s="41" t="s">
        <v>27</v>
      </c>
      <c r="D476" s="42" t="n">
        <v>206.81</v>
      </c>
      <c r="E476" s="43" t="n">
        <f aca="false">YEAR(A476)</f>
        <v>2026</v>
      </c>
      <c r="F476" s="43" t="n">
        <f aca="false">MONTH(A476)</f>
        <v>8</v>
      </c>
      <c r="G476" s="43" t="n">
        <f aca="false">E476*100+F476</f>
        <v>202608</v>
      </c>
      <c r="H476" s="43" t="str">
        <f aca="false">CHOOSE(F476,"Gen","Feb","Mar","Apr","Mag","Giu","Lug","Ago","Set","Ott","Nov","Dic")&amp;" "&amp;E476</f>
        <v>Ago 2026</v>
      </c>
      <c r="I476" s="43" t="n">
        <f aca="false">SUMPRODUCT(($A$2:$A$494&gt;A476)*1)+1</f>
        <v>19</v>
      </c>
      <c r="J476" s="43" t="n">
        <f aca="false">IF(G476=Supporto!$J$4,SUMPRODUCT(($G$2:$G$494=Supporto!$J$4)*($A$2:$A$494&gt;A476))+1,"")</f>
        <v>19</v>
      </c>
    </row>
    <row r="477" customFormat="false" ht="15" hidden="false" customHeight="false" outlineLevel="0" collapsed="false">
      <c r="A477" s="39" t="n">
        <v>46246.9083333333</v>
      </c>
      <c r="B477" s="40" t="s">
        <v>29</v>
      </c>
      <c r="C477" s="41" t="s">
        <v>27</v>
      </c>
      <c r="D477" s="42" t="n">
        <v>73.53</v>
      </c>
      <c r="E477" s="43" t="n">
        <f aca="false">YEAR(A477)</f>
        <v>2026</v>
      </c>
      <c r="F477" s="43" t="n">
        <f aca="false">MONTH(A477)</f>
        <v>8</v>
      </c>
      <c r="G477" s="43" t="n">
        <f aca="false">E477*100+F477</f>
        <v>202608</v>
      </c>
      <c r="H477" s="43" t="str">
        <f aca="false">CHOOSE(F477,"Gen","Feb","Mar","Apr","Mag","Giu","Lug","Ago","Set","Ott","Nov","Dic")&amp;" "&amp;E477</f>
        <v>Ago 2026</v>
      </c>
      <c r="I477" s="43" t="n">
        <f aca="false">SUMPRODUCT(($A$2:$A$494&gt;A477)*1)+1</f>
        <v>18</v>
      </c>
      <c r="J477" s="43" t="n">
        <f aca="false">IF(G477=Supporto!$J$4,SUMPRODUCT(($G$2:$G$494=Supporto!$J$4)*($A$2:$A$494&gt;A477))+1,"")</f>
        <v>18</v>
      </c>
    </row>
    <row r="478" customFormat="false" ht="15" hidden="false" customHeight="false" outlineLevel="0" collapsed="false">
      <c r="A478" s="39" t="n">
        <v>46247.9395833333</v>
      </c>
      <c r="B478" s="40" t="s">
        <v>33</v>
      </c>
      <c r="C478" s="41" t="s">
        <v>27</v>
      </c>
      <c r="D478" s="42" t="n">
        <v>25.69</v>
      </c>
      <c r="E478" s="43" t="n">
        <f aca="false">YEAR(A478)</f>
        <v>2026</v>
      </c>
      <c r="F478" s="43" t="n">
        <f aca="false">MONTH(A478)</f>
        <v>8</v>
      </c>
      <c r="G478" s="43" t="n">
        <f aca="false">E478*100+F478</f>
        <v>202608</v>
      </c>
      <c r="H478" s="43" t="str">
        <f aca="false">CHOOSE(F478,"Gen","Feb","Mar","Apr","Mag","Giu","Lug","Ago","Set","Ott","Nov","Dic")&amp;" "&amp;E478</f>
        <v>Ago 2026</v>
      </c>
      <c r="I478" s="43" t="n">
        <f aca="false">SUMPRODUCT(($A$2:$A$494&gt;A478)*1)+1</f>
        <v>17</v>
      </c>
      <c r="J478" s="43" t="n">
        <f aca="false">IF(G478=Supporto!$J$4,SUMPRODUCT(($G$2:$G$494=Supporto!$J$4)*($A$2:$A$494&gt;A478))+1,"")</f>
        <v>17</v>
      </c>
    </row>
    <row r="479" customFormat="false" ht="15" hidden="false" customHeight="false" outlineLevel="0" collapsed="false">
      <c r="A479" s="39" t="n">
        <v>46248.8694444444</v>
      </c>
      <c r="B479" s="40" t="s">
        <v>33</v>
      </c>
      <c r="C479" s="41" t="s">
        <v>27</v>
      </c>
      <c r="D479" s="42" t="n">
        <v>39.23</v>
      </c>
      <c r="E479" s="43" t="n">
        <f aca="false">YEAR(A479)</f>
        <v>2026</v>
      </c>
      <c r="F479" s="43" t="n">
        <f aca="false">MONTH(A479)</f>
        <v>8</v>
      </c>
      <c r="G479" s="43" t="n">
        <f aca="false">E479*100+F479</f>
        <v>202608</v>
      </c>
      <c r="H479" s="43" t="str">
        <f aca="false">CHOOSE(F479,"Gen","Feb","Mar","Apr","Mag","Giu","Lug","Ago","Set","Ott","Nov","Dic")&amp;" "&amp;E479</f>
        <v>Ago 2026</v>
      </c>
      <c r="I479" s="43" t="n">
        <f aca="false">SUMPRODUCT(($A$2:$A$494&gt;A479)*1)+1</f>
        <v>16</v>
      </c>
      <c r="J479" s="43" t="n">
        <f aca="false">IF(G479=Supporto!$J$4,SUMPRODUCT(($G$2:$G$494=Supporto!$J$4)*($A$2:$A$494&gt;A479))+1,"")</f>
        <v>16</v>
      </c>
    </row>
    <row r="480" customFormat="false" ht="15" hidden="false" customHeight="false" outlineLevel="0" collapsed="false">
      <c r="A480" s="39" t="n">
        <v>46251.7041666667</v>
      </c>
      <c r="B480" s="40" t="s">
        <v>38</v>
      </c>
      <c r="C480" s="41" t="s">
        <v>27</v>
      </c>
      <c r="D480" s="42" t="n">
        <v>98.37</v>
      </c>
      <c r="E480" s="43" t="n">
        <f aca="false">YEAR(A480)</f>
        <v>2026</v>
      </c>
      <c r="F480" s="43" t="n">
        <f aca="false">MONTH(A480)</f>
        <v>8</v>
      </c>
      <c r="G480" s="43" t="n">
        <f aca="false">E480*100+F480</f>
        <v>202608</v>
      </c>
      <c r="H480" s="43" t="str">
        <f aca="false">CHOOSE(F480,"Gen","Feb","Mar","Apr","Mag","Giu","Lug","Ago","Set","Ott","Nov","Dic")&amp;" "&amp;E480</f>
        <v>Ago 2026</v>
      </c>
      <c r="I480" s="43" t="n">
        <f aca="false">SUMPRODUCT(($A$2:$A$494&gt;A480)*1)+1</f>
        <v>15</v>
      </c>
      <c r="J480" s="43" t="n">
        <f aca="false">IF(G480=Supporto!$J$4,SUMPRODUCT(($G$2:$G$494=Supporto!$J$4)*($A$2:$A$494&gt;A480))+1,"")</f>
        <v>15</v>
      </c>
    </row>
    <row r="481" customFormat="false" ht="15" hidden="false" customHeight="false" outlineLevel="0" collapsed="false">
      <c r="A481" s="39" t="n">
        <v>46251.7555555556</v>
      </c>
      <c r="B481" s="40" t="s">
        <v>30</v>
      </c>
      <c r="C481" s="41" t="s">
        <v>27</v>
      </c>
      <c r="D481" s="42" t="n">
        <v>10.14</v>
      </c>
      <c r="E481" s="43" t="n">
        <f aca="false">YEAR(A481)</f>
        <v>2026</v>
      </c>
      <c r="F481" s="43" t="n">
        <f aca="false">MONTH(A481)</f>
        <v>8</v>
      </c>
      <c r="G481" s="43" t="n">
        <f aca="false">E481*100+F481</f>
        <v>202608</v>
      </c>
      <c r="H481" s="43" t="str">
        <f aca="false">CHOOSE(F481,"Gen","Feb","Mar","Apr","Mag","Giu","Lug","Ago","Set","Ott","Nov","Dic")&amp;" "&amp;E481</f>
        <v>Ago 2026</v>
      </c>
      <c r="I481" s="43" t="n">
        <f aca="false">SUMPRODUCT(($A$2:$A$494&gt;A481)*1)+1</f>
        <v>14</v>
      </c>
      <c r="J481" s="43" t="n">
        <f aca="false">IF(G481=Supporto!$J$4,SUMPRODUCT(($G$2:$G$494=Supporto!$J$4)*($A$2:$A$494&gt;A481))+1,"")</f>
        <v>14</v>
      </c>
    </row>
    <row r="482" customFormat="false" ht="15" hidden="false" customHeight="false" outlineLevel="0" collapsed="false">
      <c r="A482" s="39" t="n">
        <v>46251.8319444444</v>
      </c>
      <c r="B482" s="40" t="s">
        <v>28</v>
      </c>
      <c r="C482" s="41" t="s">
        <v>27</v>
      </c>
      <c r="D482" s="42" t="n">
        <v>34.74</v>
      </c>
      <c r="E482" s="43" t="n">
        <f aca="false">YEAR(A482)</f>
        <v>2026</v>
      </c>
      <c r="F482" s="43" t="n">
        <f aca="false">MONTH(A482)</f>
        <v>8</v>
      </c>
      <c r="G482" s="43" t="n">
        <f aca="false">E482*100+F482</f>
        <v>202608</v>
      </c>
      <c r="H482" s="43" t="str">
        <f aca="false">CHOOSE(F482,"Gen","Feb","Mar","Apr","Mag","Giu","Lug","Ago","Set","Ott","Nov","Dic")&amp;" "&amp;E482</f>
        <v>Ago 2026</v>
      </c>
      <c r="I482" s="43" t="n">
        <f aca="false">SUMPRODUCT(($A$2:$A$494&gt;A482)*1)+1</f>
        <v>13</v>
      </c>
      <c r="J482" s="43" t="n">
        <f aca="false">IF(G482=Supporto!$J$4,SUMPRODUCT(($G$2:$G$494=Supporto!$J$4)*($A$2:$A$494&gt;A482))+1,"")</f>
        <v>13</v>
      </c>
    </row>
    <row r="483" customFormat="false" ht="15" hidden="false" customHeight="false" outlineLevel="0" collapsed="false">
      <c r="A483" s="39" t="n">
        <v>46252.6305555556</v>
      </c>
      <c r="B483" s="40" t="s">
        <v>36</v>
      </c>
      <c r="C483" s="41" t="s">
        <v>27</v>
      </c>
      <c r="D483" s="42" t="n">
        <v>23.56</v>
      </c>
      <c r="E483" s="43" t="n">
        <f aca="false">YEAR(A483)</f>
        <v>2026</v>
      </c>
      <c r="F483" s="43" t="n">
        <f aca="false">MONTH(A483)</f>
        <v>8</v>
      </c>
      <c r="G483" s="43" t="n">
        <f aca="false">E483*100+F483</f>
        <v>202608</v>
      </c>
      <c r="H483" s="43" t="str">
        <f aca="false">CHOOSE(F483,"Gen","Feb","Mar","Apr","Mag","Giu","Lug","Ago","Set","Ott","Nov","Dic")&amp;" "&amp;E483</f>
        <v>Ago 2026</v>
      </c>
      <c r="I483" s="43" t="n">
        <f aca="false">SUMPRODUCT(($A$2:$A$494&gt;A483)*1)+1</f>
        <v>12</v>
      </c>
      <c r="J483" s="43" t="n">
        <f aca="false">IF(G483=Supporto!$J$4,SUMPRODUCT(($G$2:$G$494=Supporto!$J$4)*($A$2:$A$494&gt;A483))+1,"")</f>
        <v>12</v>
      </c>
    </row>
    <row r="484" customFormat="false" ht="15" hidden="false" customHeight="false" outlineLevel="0" collapsed="false">
      <c r="A484" s="39" t="n">
        <v>46253.3597222222</v>
      </c>
      <c r="B484" s="40" t="s">
        <v>29</v>
      </c>
      <c r="C484" s="41" t="s">
        <v>27</v>
      </c>
      <c r="D484" s="42" t="n">
        <v>73.57</v>
      </c>
      <c r="E484" s="43" t="n">
        <f aca="false">YEAR(A484)</f>
        <v>2026</v>
      </c>
      <c r="F484" s="43" t="n">
        <f aca="false">MONTH(A484)</f>
        <v>8</v>
      </c>
      <c r="G484" s="43" t="n">
        <f aca="false">E484*100+F484</f>
        <v>202608</v>
      </c>
      <c r="H484" s="43" t="str">
        <f aca="false">CHOOSE(F484,"Gen","Feb","Mar","Apr","Mag","Giu","Lug","Ago","Set","Ott","Nov","Dic")&amp;" "&amp;E484</f>
        <v>Ago 2026</v>
      </c>
      <c r="I484" s="43" t="n">
        <f aca="false">SUMPRODUCT(($A$2:$A$494&gt;A484)*1)+1</f>
        <v>11</v>
      </c>
      <c r="J484" s="43" t="n">
        <f aca="false">IF(G484=Supporto!$J$4,SUMPRODUCT(($G$2:$G$494=Supporto!$J$4)*($A$2:$A$494&gt;A484))+1,"")</f>
        <v>11</v>
      </c>
    </row>
    <row r="485" customFormat="false" ht="15" hidden="false" customHeight="false" outlineLevel="0" collapsed="false">
      <c r="A485" s="39" t="n">
        <v>46253.3805555556</v>
      </c>
      <c r="B485" s="40" t="s">
        <v>33</v>
      </c>
      <c r="C485" s="41" t="s">
        <v>27</v>
      </c>
      <c r="D485" s="42" t="n">
        <v>3</v>
      </c>
      <c r="E485" s="43" t="n">
        <f aca="false">YEAR(A485)</f>
        <v>2026</v>
      </c>
      <c r="F485" s="43" t="n">
        <f aca="false">MONTH(A485)</f>
        <v>8</v>
      </c>
      <c r="G485" s="43" t="n">
        <f aca="false">E485*100+F485</f>
        <v>202608</v>
      </c>
      <c r="H485" s="43" t="str">
        <f aca="false">CHOOSE(F485,"Gen","Feb","Mar","Apr","Mag","Giu","Lug","Ago","Set","Ott","Nov","Dic")&amp;" "&amp;E485</f>
        <v>Ago 2026</v>
      </c>
      <c r="I485" s="43" t="n">
        <f aca="false">SUMPRODUCT(($A$2:$A$494&gt;A485)*1)+1</f>
        <v>10</v>
      </c>
      <c r="J485" s="43" t="n">
        <f aca="false">IF(G485=Supporto!$J$4,SUMPRODUCT(($G$2:$G$494=Supporto!$J$4)*($A$2:$A$494&gt;A485))+1,"")</f>
        <v>10</v>
      </c>
    </row>
    <row r="486" customFormat="false" ht="15" hidden="false" customHeight="false" outlineLevel="0" collapsed="false">
      <c r="A486" s="39" t="n">
        <v>46255.69375</v>
      </c>
      <c r="B486" s="40" t="s">
        <v>36</v>
      </c>
      <c r="C486" s="41" t="s">
        <v>27</v>
      </c>
      <c r="D486" s="42" t="n">
        <v>13.54</v>
      </c>
      <c r="E486" s="43" t="n">
        <f aca="false">YEAR(A486)</f>
        <v>2026</v>
      </c>
      <c r="F486" s="43" t="n">
        <f aca="false">MONTH(A486)</f>
        <v>8</v>
      </c>
      <c r="G486" s="43" t="n">
        <f aca="false">E486*100+F486</f>
        <v>202608</v>
      </c>
      <c r="H486" s="43" t="str">
        <f aca="false">CHOOSE(F486,"Gen","Feb","Mar","Apr","Mag","Giu","Lug","Ago","Set","Ott","Nov","Dic")&amp;" "&amp;E486</f>
        <v>Ago 2026</v>
      </c>
      <c r="I486" s="43" t="n">
        <f aca="false">SUMPRODUCT(($A$2:$A$494&gt;A486)*1)+1</f>
        <v>9</v>
      </c>
      <c r="J486" s="43" t="n">
        <f aca="false">IF(G486=Supporto!$J$4,SUMPRODUCT(($G$2:$G$494=Supporto!$J$4)*($A$2:$A$494&gt;A486))+1,"")</f>
        <v>9</v>
      </c>
    </row>
    <row r="487" customFormat="false" ht="15" hidden="false" customHeight="false" outlineLevel="0" collapsed="false">
      <c r="A487" s="39" t="n">
        <v>46257.8784722222</v>
      </c>
      <c r="B487" s="40" t="s">
        <v>34</v>
      </c>
      <c r="C487" s="41" t="s">
        <v>27</v>
      </c>
      <c r="D487" s="42" t="n">
        <v>9.97</v>
      </c>
      <c r="E487" s="43" t="n">
        <f aca="false">YEAR(A487)</f>
        <v>2026</v>
      </c>
      <c r="F487" s="43" t="n">
        <f aca="false">MONTH(A487)</f>
        <v>8</v>
      </c>
      <c r="G487" s="43" t="n">
        <f aca="false">E487*100+F487</f>
        <v>202608</v>
      </c>
      <c r="H487" s="43" t="str">
        <f aca="false">CHOOSE(F487,"Gen","Feb","Mar","Apr","Mag","Giu","Lug","Ago","Set","Ott","Nov","Dic")&amp;" "&amp;E487</f>
        <v>Ago 2026</v>
      </c>
      <c r="I487" s="43" t="n">
        <f aca="false">SUMPRODUCT(($A$2:$A$494&gt;A487)*1)+1</f>
        <v>8</v>
      </c>
      <c r="J487" s="43" t="n">
        <f aca="false">IF(G487=Supporto!$J$4,SUMPRODUCT(($G$2:$G$494=Supporto!$J$4)*($A$2:$A$494&gt;A487))+1,"")</f>
        <v>8</v>
      </c>
    </row>
    <row r="488" customFormat="false" ht="15" hidden="false" customHeight="false" outlineLevel="0" collapsed="false">
      <c r="A488" s="39" t="n">
        <v>46257.925</v>
      </c>
      <c r="B488" s="40" t="s">
        <v>34</v>
      </c>
      <c r="C488" s="41" t="s">
        <v>27</v>
      </c>
      <c r="D488" s="42" t="n">
        <v>30.16</v>
      </c>
      <c r="E488" s="43" t="n">
        <f aca="false">YEAR(A488)</f>
        <v>2026</v>
      </c>
      <c r="F488" s="43" t="n">
        <f aca="false">MONTH(A488)</f>
        <v>8</v>
      </c>
      <c r="G488" s="43" t="n">
        <f aca="false">E488*100+F488</f>
        <v>202608</v>
      </c>
      <c r="H488" s="43" t="str">
        <f aca="false">CHOOSE(F488,"Gen","Feb","Mar","Apr","Mag","Giu","Lug","Ago","Set","Ott","Nov","Dic")&amp;" "&amp;E488</f>
        <v>Ago 2026</v>
      </c>
      <c r="I488" s="43" t="n">
        <f aca="false">SUMPRODUCT(($A$2:$A$494&gt;A488)*1)+1</f>
        <v>7</v>
      </c>
      <c r="J488" s="43" t="n">
        <f aca="false">IF(G488=Supporto!$J$4,SUMPRODUCT(($G$2:$G$494=Supporto!$J$4)*($A$2:$A$494&gt;A488))+1,"")</f>
        <v>7</v>
      </c>
    </row>
    <row r="489" customFormat="false" ht="15" hidden="false" customHeight="false" outlineLevel="0" collapsed="false">
      <c r="A489" s="39" t="n">
        <v>46260.7375</v>
      </c>
      <c r="B489" s="40" t="s">
        <v>34</v>
      </c>
      <c r="C489" s="41" t="s">
        <v>27</v>
      </c>
      <c r="D489" s="42" t="n">
        <v>31.63</v>
      </c>
      <c r="E489" s="43" t="n">
        <f aca="false">YEAR(A489)</f>
        <v>2026</v>
      </c>
      <c r="F489" s="43" t="n">
        <f aca="false">MONTH(A489)</f>
        <v>8</v>
      </c>
      <c r="G489" s="43" t="n">
        <f aca="false">E489*100+F489</f>
        <v>202608</v>
      </c>
      <c r="H489" s="43" t="str">
        <f aca="false">CHOOSE(F489,"Gen","Feb","Mar","Apr","Mag","Giu","Lug","Ago","Set","Ott","Nov","Dic")&amp;" "&amp;E489</f>
        <v>Ago 2026</v>
      </c>
      <c r="I489" s="43" t="n">
        <f aca="false">SUMPRODUCT(($A$2:$A$494&gt;A489)*1)+1</f>
        <v>6</v>
      </c>
      <c r="J489" s="43" t="n">
        <f aca="false">IF(G489=Supporto!$J$4,SUMPRODUCT(($G$2:$G$494=Supporto!$J$4)*($A$2:$A$494&gt;A489))+1,"")</f>
        <v>6</v>
      </c>
    </row>
    <row r="490" customFormat="false" ht="15" hidden="false" customHeight="false" outlineLevel="0" collapsed="false">
      <c r="A490" s="39" t="n">
        <v>46260.9173611111</v>
      </c>
      <c r="B490" s="40" t="s">
        <v>26</v>
      </c>
      <c r="C490" s="41" t="s">
        <v>27</v>
      </c>
      <c r="D490" s="42" t="n">
        <v>57.89</v>
      </c>
      <c r="E490" s="43" t="n">
        <f aca="false">YEAR(A490)</f>
        <v>2026</v>
      </c>
      <c r="F490" s="43" t="n">
        <f aca="false">MONTH(A490)</f>
        <v>8</v>
      </c>
      <c r="G490" s="43" t="n">
        <f aca="false">E490*100+F490</f>
        <v>202608</v>
      </c>
      <c r="H490" s="43" t="str">
        <f aca="false">CHOOSE(F490,"Gen","Feb","Mar","Apr","Mag","Giu","Lug","Ago","Set","Ott","Nov","Dic")&amp;" "&amp;E490</f>
        <v>Ago 2026</v>
      </c>
      <c r="I490" s="43" t="n">
        <f aca="false">SUMPRODUCT(($A$2:$A$494&gt;A490)*1)+1</f>
        <v>5</v>
      </c>
      <c r="J490" s="43" t="n">
        <f aca="false">IF(G490=Supporto!$J$4,SUMPRODUCT(($G$2:$G$494=Supporto!$J$4)*($A$2:$A$494&gt;A490))+1,"")</f>
        <v>5</v>
      </c>
    </row>
    <row r="491" customFormat="false" ht="15" hidden="false" customHeight="false" outlineLevel="0" collapsed="false">
      <c r="A491" s="39" t="n">
        <v>46261.375</v>
      </c>
      <c r="B491" s="40" t="s">
        <v>40</v>
      </c>
      <c r="C491" s="41" t="s">
        <v>32</v>
      </c>
      <c r="D491" s="42" t="n">
        <v>2352.62</v>
      </c>
      <c r="E491" s="43" t="n">
        <f aca="false">YEAR(A491)</f>
        <v>2026</v>
      </c>
      <c r="F491" s="43" t="n">
        <f aca="false">MONTH(A491)</f>
        <v>8</v>
      </c>
      <c r="G491" s="43" t="n">
        <f aca="false">E491*100+F491</f>
        <v>202608</v>
      </c>
      <c r="H491" s="43" t="str">
        <f aca="false">CHOOSE(F491,"Gen","Feb","Mar","Apr","Mag","Giu","Lug","Ago","Set","Ott","Nov","Dic")&amp;" "&amp;E491</f>
        <v>Ago 2026</v>
      </c>
      <c r="I491" s="43" t="n">
        <f aca="false">SUMPRODUCT(($A$2:$A$494&gt;A491)*1)+1</f>
        <v>4</v>
      </c>
      <c r="J491" s="43" t="n">
        <f aca="false">IF(G491=Supporto!$J$4,SUMPRODUCT(($G$2:$G$494=Supporto!$J$4)*($A$2:$A$494&gt;A491))+1,"")</f>
        <v>4</v>
      </c>
    </row>
    <row r="492" customFormat="false" ht="15" hidden="false" customHeight="false" outlineLevel="0" collapsed="false">
      <c r="A492" s="39" t="n">
        <v>46261.3784722222</v>
      </c>
      <c r="B492" s="40" t="s">
        <v>41</v>
      </c>
      <c r="C492" s="41" t="s">
        <v>32</v>
      </c>
      <c r="D492" s="42" t="n">
        <v>1999.98</v>
      </c>
      <c r="E492" s="43" t="n">
        <f aca="false">YEAR(A492)</f>
        <v>2026</v>
      </c>
      <c r="F492" s="43" t="n">
        <f aca="false">MONTH(A492)</f>
        <v>8</v>
      </c>
      <c r="G492" s="43" t="n">
        <f aca="false">E492*100+F492</f>
        <v>202608</v>
      </c>
      <c r="H492" s="43" t="str">
        <f aca="false">CHOOSE(F492,"Gen","Feb","Mar","Apr","Mag","Giu","Lug","Ago","Set","Ott","Nov","Dic")&amp;" "&amp;E492</f>
        <v>Ago 2026</v>
      </c>
      <c r="I492" s="43" t="n">
        <f aca="false">SUMPRODUCT(($A$2:$A$494&gt;A492)*1)+1</f>
        <v>3</v>
      </c>
      <c r="J492" s="43" t="n">
        <f aca="false">IF(G492=Supporto!$J$4,SUMPRODUCT(($G$2:$G$494=Supporto!$J$4)*($A$2:$A$494&gt;A492))+1,"")</f>
        <v>3</v>
      </c>
    </row>
    <row r="493" customFormat="false" ht="15" hidden="false" customHeight="false" outlineLevel="0" collapsed="false">
      <c r="A493" s="39" t="n">
        <v>46261.4395833333</v>
      </c>
      <c r="B493" s="40" t="s">
        <v>39</v>
      </c>
      <c r="C493" s="41" t="s">
        <v>27</v>
      </c>
      <c r="D493" s="42" t="n">
        <v>83.75</v>
      </c>
      <c r="E493" s="43" t="n">
        <f aca="false">YEAR(A493)</f>
        <v>2026</v>
      </c>
      <c r="F493" s="43" t="n">
        <f aca="false">MONTH(A493)</f>
        <v>8</v>
      </c>
      <c r="G493" s="43" t="n">
        <f aca="false">E493*100+F493</f>
        <v>202608</v>
      </c>
      <c r="H493" s="43" t="str">
        <f aca="false">CHOOSE(F493,"Gen","Feb","Mar","Apr","Mag","Giu","Lug","Ago","Set","Ott","Nov","Dic")&amp;" "&amp;E493</f>
        <v>Ago 2026</v>
      </c>
      <c r="I493" s="43" t="n">
        <f aca="false">SUMPRODUCT(($A$2:$A$494&gt;A493)*1)+1</f>
        <v>2</v>
      </c>
      <c r="J493" s="43" t="n">
        <f aca="false">IF(G493=Supporto!$J$4,SUMPRODUCT(($G$2:$G$494=Supporto!$J$4)*($A$2:$A$494&gt;A493))+1,"")</f>
        <v>2</v>
      </c>
    </row>
    <row r="494" customFormat="false" ht="15" hidden="false" customHeight="false" outlineLevel="0" collapsed="false">
      <c r="A494" s="39" t="n">
        <v>46261.5340277778</v>
      </c>
      <c r="B494" s="40" t="s">
        <v>30</v>
      </c>
      <c r="C494" s="41" t="s">
        <v>27</v>
      </c>
      <c r="D494" s="42" t="n">
        <v>53.54</v>
      </c>
      <c r="E494" s="43" t="n">
        <f aca="false">YEAR(A494)</f>
        <v>2026</v>
      </c>
      <c r="F494" s="43" t="n">
        <f aca="false">MONTH(A494)</f>
        <v>8</v>
      </c>
      <c r="G494" s="43" t="n">
        <f aca="false">E494*100+F494</f>
        <v>202608</v>
      </c>
      <c r="H494" s="43" t="str">
        <f aca="false">CHOOSE(F494,"Gen","Feb","Mar","Apr","Mag","Giu","Lug","Ago","Set","Ott","Nov","Dic")&amp;" "&amp;E494</f>
        <v>Ago 2026</v>
      </c>
      <c r="I494" s="43" t="n">
        <f aca="false">SUMPRODUCT(($A$2:$A$494&gt;A494)*1)+1</f>
        <v>1</v>
      </c>
      <c r="J494" s="43" t="n">
        <f aca="false">IF(G494=Supporto!$J$4,SUMPRODUCT(($G$2:$G$494=Supporto!$J$4)*($A$2:$A$494&gt;A494))+1,"")</f>
        <v>1</v>
      </c>
    </row>
  </sheetData>
  <dataValidations count="2">
    <dataValidation allowBlank="false" errorStyle="stop" operator="between" showDropDown="false" showErrorMessage="false" showInputMessage="false" sqref="C2:C694" type="list">
      <formula1>"Entrata,Uscita"</formula1>
      <formula2>0</formula2>
    </dataValidation>
    <dataValidation allowBlank="false" errorStyle="stop" operator="between" showDropDown="false" showErrorMessage="false" showInputMessage="false" sqref="B2:B694" type="list">
      <formula1>Budget!$D$2:$D$16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151"/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20"/>
  </cols>
  <sheetData>
    <row r="1" customFormat="false" ht="19.5" hidden="false" customHeight="true" outlineLevel="0" collapsed="false">
      <c r="A1" s="38" t="s">
        <v>12</v>
      </c>
      <c r="B1" s="38" t="s">
        <v>43</v>
      </c>
      <c r="C1" s="38" t="s">
        <v>44</v>
      </c>
      <c r="D1" s="38" t="s">
        <v>45</v>
      </c>
    </row>
    <row r="2" customFormat="false" ht="15" hidden="false" customHeight="false" outlineLevel="0" collapsed="false">
      <c r="A2" s="40" t="s">
        <v>29</v>
      </c>
      <c r="B2" s="44" t="n">
        <v>550</v>
      </c>
      <c r="C2" s="45"/>
      <c r="D2" s="46" t="s">
        <v>29</v>
      </c>
    </row>
    <row r="3" customFormat="false" ht="15" hidden="false" customHeight="false" outlineLevel="0" collapsed="false">
      <c r="A3" s="40" t="s">
        <v>28</v>
      </c>
      <c r="B3" s="44" t="n">
        <v>900</v>
      </c>
      <c r="C3" s="45"/>
      <c r="D3" s="46" t="s">
        <v>28</v>
      </c>
    </row>
    <row r="4" customFormat="false" ht="15" hidden="false" customHeight="false" outlineLevel="0" collapsed="false">
      <c r="A4" s="40" t="s">
        <v>34</v>
      </c>
      <c r="B4" s="44" t="n">
        <v>140</v>
      </c>
      <c r="C4" s="45"/>
      <c r="D4" s="46" t="s">
        <v>34</v>
      </c>
    </row>
    <row r="5" customFormat="false" ht="15" hidden="false" customHeight="false" outlineLevel="0" collapsed="false">
      <c r="A5" s="40" t="s">
        <v>26</v>
      </c>
      <c r="B5" s="44" t="n">
        <v>160</v>
      </c>
      <c r="C5" s="45"/>
      <c r="D5" s="46" t="s">
        <v>26</v>
      </c>
    </row>
    <row r="6" customFormat="false" ht="15" hidden="false" customHeight="false" outlineLevel="0" collapsed="false">
      <c r="A6" s="40" t="s">
        <v>33</v>
      </c>
      <c r="B6" s="44" t="n">
        <v>100</v>
      </c>
      <c r="C6" s="45"/>
      <c r="D6" s="46" t="s">
        <v>33</v>
      </c>
    </row>
    <row r="7" customFormat="false" ht="15" hidden="false" customHeight="false" outlineLevel="0" collapsed="false">
      <c r="A7" s="40" t="s">
        <v>30</v>
      </c>
      <c r="B7" s="44" t="n">
        <v>90</v>
      </c>
      <c r="C7" s="45"/>
      <c r="D7" s="46" t="s">
        <v>30</v>
      </c>
    </row>
    <row r="8" customFormat="false" ht="15" hidden="false" customHeight="false" outlineLevel="0" collapsed="false">
      <c r="A8" s="40" t="s">
        <v>39</v>
      </c>
      <c r="B8" s="44" t="n">
        <v>60</v>
      </c>
      <c r="C8" s="45"/>
      <c r="D8" s="46" t="s">
        <v>39</v>
      </c>
    </row>
    <row r="9" customFormat="false" ht="15" hidden="false" customHeight="false" outlineLevel="0" collapsed="false">
      <c r="A9" s="40" t="s">
        <v>35</v>
      </c>
      <c r="B9" s="44" t="n">
        <v>90</v>
      </c>
      <c r="C9" s="45"/>
      <c r="D9" s="46" t="s">
        <v>35</v>
      </c>
    </row>
    <row r="10" customFormat="false" ht="15" hidden="false" customHeight="false" outlineLevel="0" collapsed="false">
      <c r="A10" s="40" t="s">
        <v>38</v>
      </c>
      <c r="B10" s="44" t="n">
        <v>100</v>
      </c>
      <c r="C10" s="45"/>
      <c r="D10" s="46" t="s">
        <v>38</v>
      </c>
    </row>
    <row r="11" customFormat="false" ht="15" hidden="false" customHeight="false" outlineLevel="0" collapsed="false">
      <c r="A11" s="40" t="s">
        <v>36</v>
      </c>
      <c r="B11" s="44" t="n">
        <v>90</v>
      </c>
      <c r="C11" s="45"/>
      <c r="D11" s="46" t="s">
        <v>36</v>
      </c>
    </row>
    <row r="12" customFormat="false" ht="15" hidden="false" customHeight="false" outlineLevel="0" collapsed="false">
      <c r="D12" s="46" t="s">
        <v>40</v>
      </c>
    </row>
    <row r="13" customFormat="false" ht="15" hidden="false" customHeight="false" outlineLevel="0" collapsed="false">
      <c r="D13" s="46" t="s">
        <v>41</v>
      </c>
    </row>
    <row r="14" customFormat="false" ht="15" hidden="false" customHeight="false" outlineLevel="0" collapsed="false">
      <c r="A14" s="47" t="s">
        <v>46</v>
      </c>
      <c r="D14" s="46" t="s">
        <v>42</v>
      </c>
    </row>
    <row r="15" customFormat="false" ht="15" hidden="false" customHeight="false" outlineLevel="0" collapsed="false">
      <c r="A15" s="46" t="s">
        <v>47</v>
      </c>
      <c r="B15" s="48" t="s">
        <v>48</v>
      </c>
      <c r="D15" s="46" t="s">
        <v>31</v>
      </c>
    </row>
    <row r="16" customFormat="false" ht="15" hidden="false" customHeight="false" outlineLevel="0" collapsed="false">
      <c r="A16" s="46" t="s">
        <v>49</v>
      </c>
      <c r="B16" s="49" t="n">
        <v>0.2</v>
      </c>
      <c r="D16" s="46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827"/>
    <pageSetUpPr fitToPage="false"/>
  </sheetPr>
  <dimension ref="A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12"/>
    <col collapsed="false" customWidth="true" hidden="false" outlineLevel="0" max="7" min="7" style="0" width="14"/>
    <col collapsed="false" customWidth="true" hidden="false" outlineLevel="0" max="8" min="8" style="0" width="4"/>
    <col collapsed="false" customWidth="true" hidden="false" outlineLevel="0" max="9" min="9" style="0" width="26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50" t="s">
        <v>22</v>
      </c>
      <c r="B1" s="50" t="s">
        <v>23</v>
      </c>
      <c r="C1" s="50" t="s">
        <v>50</v>
      </c>
      <c r="D1" s="50" t="s">
        <v>51</v>
      </c>
      <c r="E1" s="50" t="s">
        <v>52</v>
      </c>
      <c r="F1" s="50" t="s">
        <v>53</v>
      </c>
      <c r="G1" s="50" t="s">
        <v>54</v>
      </c>
    </row>
    <row r="2" customFormat="false" ht="15" hidden="false" customHeight="false" outlineLevel="0" collapsed="false">
      <c r="A2" s="0" t="n">
        <v>202507</v>
      </c>
      <c r="B2" s="0" t="str">
        <f aca="false">CHOOSE(MOD(A2,100),"Gen","Feb","Mar","Apr","Mag","Giu","Lug","Ago","Set","Ott","Nov","Dic")&amp;" "&amp;INT(A2/100)</f>
        <v>Lug 2025</v>
      </c>
      <c r="C2" s="51" t="n">
        <f aca="false">SUMIFS(Transazioni!$D$2:$D$494,Transazioni!$G$2:$G$494,A2,Transazioni!$C$2:$C$494,"Entrata")</f>
        <v>4601.92</v>
      </c>
      <c r="D2" s="51" t="n">
        <f aca="false">SUMIFS(Transazioni!$D$2:$D$494,Transazioni!$G$2:$G$494,A2,Transazioni!$C$2:$C$494,"Uscita")</f>
        <v>2154.12</v>
      </c>
      <c r="E2" s="51" t="n">
        <f aca="false">C2-D2</f>
        <v>2447.8</v>
      </c>
      <c r="F2" s="52" t="n">
        <f aca="false">IFERROR(E2/C2,0)</f>
        <v>0.531908420833044</v>
      </c>
      <c r="G2" s="51" t="n">
        <f aca="false">E2</f>
        <v>2447.8</v>
      </c>
      <c r="I2" s="53" t="s">
        <v>55</v>
      </c>
      <c r="J2" s="0" t="str">
        <f aca="false">Dashboard!$H$3</f>
        <v>Ago 2026</v>
      </c>
    </row>
    <row r="3" customFormat="false" ht="15" hidden="false" customHeight="false" outlineLevel="0" collapsed="false">
      <c r="A3" s="0" t="n">
        <v>202508</v>
      </c>
      <c r="B3" s="0" t="str">
        <f aca="false">CHOOSE(MOD(A3,100),"Gen","Feb","Mar","Apr","Mag","Giu","Lug","Ago","Set","Ott","Nov","Dic")&amp;" "&amp;INT(A3/100)</f>
        <v>Ago 2025</v>
      </c>
      <c r="C3" s="51" t="n">
        <f aca="false">SUMIFS(Transazioni!$D$2:$D$494,Transazioni!$G$2:$G$494,A3,Transazioni!$C$2:$C$494,"Entrata")</f>
        <v>4838.51</v>
      </c>
      <c r="D3" s="51" t="n">
        <f aca="false">SUMIFS(Transazioni!$D$2:$D$494,Transazioni!$G$2:$G$494,A3,Transazioni!$C$2:$C$494,"Uscita")</f>
        <v>2189.95</v>
      </c>
      <c r="E3" s="51" t="n">
        <f aca="false">C3-D3</f>
        <v>2648.56</v>
      </c>
      <c r="F3" s="52" t="n">
        <f aca="false">IFERROR(E3/C3,0)</f>
        <v>0.547391655695658</v>
      </c>
      <c r="G3" s="51" t="n">
        <f aca="false">G2+E3</f>
        <v>5096.36</v>
      </c>
      <c r="I3" s="53" t="s">
        <v>56</v>
      </c>
      <c r="J3" s="0" t="n">
        <f aca="false">MATCH(J2,$B$2:$B$15,0)</f>
        <v>14</v>
      </c>
    </row>
    <row r="4" customFormat="false" ht="15" hidden="false" customHeight="false" outlineLevel="0" collapsed="false">
      <c r="A4" s="0" t="n">
        <v>202509</v>
      </c>
      <c r="B4" s="0" t="str">
        <f aca="false">CHOOSE(MOD(A4,100),"Gen","Feb","Mar","Apr","Mag","Giu","Lug","Ago","Set","Ott","Nov","Dic")&amp;" "&amp;INT(A4/100)</f>
        <v>Set 2025</v>
      </c>
      <c r="C4" s="51" t="n">
        <f aca="false">SUMIFS(Transazioni!$D$2:$D$494,Transazioni!$G$2:$G$494,A4,Transazioni!$C$2:$C$494,"Entrata")</f>
        <v>4821.81</v>
      </c>
      <c r="D4" s="51" t="n">
        <f aca="false">SUMIFS(Transazioni!$D$2:$D$494,Transazioni!$G$2:$G$494,A4,Transazioni!$C$2:$C$494,"Uscita")</f>
        <v>2120.98</v>
      </c>
      <c r="E4" s="51" t="n">
        <f aca="false">C4-D4</f>
        <v>2700.83</v>
      </c>
      <c r="F4" s="52" t="n">
        <f aca="false">IFERROR(E4/C4,0)</f>
        <v>0.560127835812693</v>
      </c>
      <c r="G4" s="51" t="n">
        <f aca="false">G3+E4</f>
        <v>7797.19</v>
      </c>
      <c r="I4" s="53" t="s">
        <v>57</v>
      </c>
      <c r="J4" s="0" t="n">
        <f aca="false">INDEX($A$2:$A$15,J3)</f>
        <v>202608</v>
      </c>
    </row>
    <row r="5" customFormat="false" ht="15" hidden="false" customHeight="false" outlineLevel="0" collapsed="false">
      <c r="A5" s="0" t="n">
        <v>202510</v>
      </c>
      <c r="B5" s="0" t="str">
        <f aca="false">CHOOSE(MOD(A5,100),"Gen","Feb","Mar","Apr","Mag","Giu","Lug","Ago","Set","Ott","Nov","Dic")&amp;" "&amp;INT(A5/100)</f>
        <v>Ott 2025</v>
      </c>
      <c r="C5" s="51" t="n">
        <f aca="false">SUMIFS(Transazioni!$D$2:$D$494,Transazioni!$G$2:$G$494,A5,Transazioni!$C$2:$C$494,"Entrata")</f>
        <v>4554.33</v>
      </c>
      <c r="D5" s="51" t="n">
        <f aca="false">SUMIFS(Transazioni!$D$2:$D$494,Transazioni!$G$2:$G$494,A5,Transazioni!$C$2:$C$494,"Uscita")</f>
        <v>2164.37</v>
      </c>
      <c r="E5" s="51" t="n">
        <f aca="false">C5-D5</f>
        <v>2389.96</v>
      </c>
      <c r="F5" s="52" t="n">
        <f aca="false">IFERROR(E5/C5,0)</f>
        <v>0.524766540852332</v>
      </c>
      <c r="G5" s="51" t="n">
        <f aca="false">G4+E5</f>
        <v>10187.15</v>
      </c>
      <c r="I5" s="53" t="s">
        <v>58</v>
      </c>
      <c r="J5" s="51" t="n">
        <f aca="false">INDEX($C$2:$C$15,J3)</f>
        <v>4401.16</v>
      </c>
    </row>
    <row r="6" customFormat="false" ht="15" hidden="false" customHeight="false" outlineLevel="0" collapsed="false">
      <c r="A6" s="0" t="n">
        <v>202511</v>
      </c>
      <c r="B6" s="0" t="str">
        <f aca="false">CHOOSE(MOD(A6,100),"Gen","Feb","Mar","Apr","Mag","Giu","Lug","Ago","Set","Ott","Nov","Dic")&amp;" "&amp;INT(A6/100)</f>
        <v>Nov 2025</v>
      </c>
      <c r="C6" s="51" t="n">
        <f aca="false">SUMIFS(Transazioni!$D$2:$D$494,Transazioni!$G$2:$G$494,A6,Transazioni!$C$2:$C$494,"Entrata")</f>
        <v>4494.97</v>
      </c>
      <c r="D6" s="51" t="n">
        <f aca="false">SUMIFS(Transazioni!$D$2:$D$494,Transazioni!$G$2:$G$494,A6,Transazioni!$C$2:$C$494,"Uscita")</f>
        <v>2369.71</v>
      </c>
      <c r="E6" s="51" t="n">
        <f aca="false">C6-D6</f>
        <v>2125.26</v>
      </c>
      <c r="F6" s="52" t="n">
        <f aca="false">IFERROR(E6/C6,0)</f>
        <v>0.472808494828664</v>
      </c>
      <c r="G6" s="51" t="n">
        <f aca="false">G5+E6</f>
        <v>12312.41</v>
      </c>
      <c r="I6" s="53" t="s">
        <v>59</v>
      </c>
      <c r="J6" s="51" t="n">
        <f aca="false">INDEX($D$2:$D$15,J3)</f>
        <v>2208.82</v>
      </c>
    </row>
    <row r="7" customFormat="false" ht="15" hidden="false" customHeight="false" outlineLevel="0" collapsed="false">
      <c r="A7" s="0" t="n">
        <v>202512</v>
      </c>
      <c r="B7" s="0" t="str">
        <f aca="false">CHOOSE(MOD(A7,100),"Gen","Feb","Mar","Apr","Mag","Giu","Lug","Ago","Set","Ott","Nov","Dic")&amp;" "&amp;INT(A7/100)</f>
        <v>Dic 2025</v>
      </c>
      <c r="C7" s="51" t="n">
        <f aca="false">SUMIFS(Transazioni!$D$2:$D$494,Transazioni!$G$2:$G$494,A7,Transazioni!$C$2:$C$494,"Entrata")</f>
        <v>4716.74</v>
      </c>
      <c r="D7" s="51" t="n">
        <f aca="false">SUMIFS(Transazioni!$D$2:$D$494,Transazioni!$G$2:$G$494,A7,Transazioni!$C$2:$C$494,"Uscita")</f>
        <v>2249.04</v>
      </c>
      <c r="E7" s="51" t="n">
        <f aca="false">C7-D7</f>
        <v>2467.7</v>
      </c>
      <c r="F7" s="52" t="n">
        <f aca="false">IFERROR(E7/C7,0)</f>
        <v>0.523179144917888</v>
      </c>
      <c r="G7" s="51" t="n">
        <f aca="false">G6+E7</f>
        <v>14780.11</v>
      </c>
      <c r="I7" s="53" t="s">
        <v>60</v>
      </c>
      <c r="J7" s="51" t="n">
        <f aca="false">INDEX($E$2:$E$15,J3)</f>
        <v>2192.34</v>
      </c>
    </row>
    <row r="8" customFormat="false" ht="15" hidden="false" customHeight="false" outlineLevel="0" collapsed="false">
      <c r="A8" s="0" t="n">
        <v>202601</v>
      </c>
      <c r="B8" s="0" t="str">
        <f aca="false">CHOOSE(MOD(A8,100),"Gen","Feb","Mar","Apr","Mag","Giu","Lug","Ago","Set","Ott","Nov","Dic")&amp;" "&amp;INT(A8/100)</f>
        <v>Gen 2026</v>
      </c>
      <c r="C8" s="51" t="n">
        <f aca="false">SUMIFS(Transazioni!$D$2:$D$494,Transazioni!$G$2:$G$494,A8,Transazioni!$C$2:$C$494,"Entrata")</f>
        <v>4350.03</v>
      </c>
      <c r="D8" s="51" t="n">
        <f aca="false">SUMIFS(Transazioni!$D$2:$D$494,Transazioni!$G$2:$G$494,A8,Transazioni!$C$2:$C$494,"Uscita")</f>
        <v>2082.8</v>
      </c>
      <c r="E8" s="51" t="n">
        <f aca="false">C8-D8</f>
        <v>2267.23</v>
      </c>
      <c r="F8" s="52" t="n">
        <f aca="false">IFERROR(E8/C8,0)</f>
        <v>0.521198704376751</v>
      </c>
      <c r="G8" s="51" t="n">
        <f aca="false">G7+E8</f>
        <v>17047.34</v>
      </c>
      <c r="I8" s="53" t="s">
        <v>61</v>
      </c>
      <c r="J8" s="52" t="n">
        <f aca="false">INDEX($F$2:$F$15,J3)</f>
        <v>0.498127766316153</v>
      </c>
    </row>
    <row r="9" customFormat="false" ht="15" hidden="false" customHeight="false" outlineLevel="0" collapsed="false">
      <c r="A9" s="0" t="n">
        <v>202602</v>
      </c>
      <c r="B9" s="0" t="str">
        <f aca="false">CHOOSE(MOD(A9,100),"Gen","Feb","Mar","Apr","Mag","Giu","Lug","Ago","Set","Ott","Nov","Dic")&amp;" "&amp;INT(A9/100)</f>
        <v>Feb 2026</v>
      </c>
      <c r="C9" s="51" t="n">
        <f aca="false">SUMIFS(Transazioni!$D$2:$D$494,Transazioni!$G$2:$G$494,A9,Transazioni!$C$2:$C$494,"Entrata")</f>
        <v>4335.84</v>
      </c>
      <c r="D9" s="51" t="n">
        <f aca="false">SUMIFS(Transazioni!$D$2:$D$494,Transazioni!$G$2:$G$494,A9,Transazioni!$C$2:$C$494,"Uscita")</f>
        <v>2274.03</v>
      </c>
      <c r="E9" s="51" t="n">
        <f aca="false">C9-D9</f>
        <v>2061.81</v>
      </c>
      <c r="F9" s="52" t="n">
        <f aca="false">IFERROR(E9/C9,0)</f>
        <v>0.47552723347725</v>
      </c>
      <c r="G9" s="51" t="n">
        <f aca="false">G8+E9</f>
        <v>19109.15</v>
      </c>
      <c r="I9" s="53" t="s">
        <v>62</v>
      </c>
      <c r="J9" s="51" t="n">
        <f aca="false">IF(J3&gt;1,J7-INDEX($E$2:$E$15,J3-1),"")</f>
        <v>-248.350000000001</v>
      </c>
    </row>
    <row r="10" customFormat="false" ht="15" hidden="false" customHeight="false" outlineLevel="0" collapsed="false">
      <c r="A10" s="0" t="n">
        <v>202603</v>
      </c>
      <c r="B10" s="0" t="str">
        <f aca="false">CHOOSE(MOD(A10,100),"Gen","Feb","Mar","Apr","Mag","Giu","Lug","Ago","Set","Ott","Nov","Dic")&amp;" "&amp;INT(A10/100)</f>
        <v>Mar 2026</v>
      </c>
      <c r="C10" s="51" t="n">
        <f aca="false">SUMIFS(Transazioni!$D$2:$D$494,Transazioni!$G$2:$G$494,A10,Transazioni!$C$2:$C$494,"Entrata")</f>
        <v>5037.22</v>
      </c>
      <c r="D10" s="51" t="n">
        <f aca="false">SUMIFS(Transazioni!$D$2:$D$494,Transazioni!$G$2:$G$494,A10,Transazioni!$C$2:$C$494,"Uscita")</f>
        <v>2046.42</v>
      </c>
      <c r="E10" s="51" t="n">
        <f aca="false">C10-D10</f>
        <v>2990.8</v>
      </c>
      <c r="F10" s="52" t="n">
        <f aca="false">IFERROR(E10/C10,0)</f>
        <v>0.593740197966339</v>
      </c>
      <c r="G10" s="51" t="n">
        <f aca="false">G9+E10</f>
        <v>22099.95</v>
      </c>
      <c r="I10" s="53" t="s">
        <v>63</v>
      </c>
      <c r="J10" s="54" t="n">
        <f aca="false">COUNTIFS(Transazioni!$G$2:$G$494,J4)</f>
        <v>31</v>
      </c>
    </row>
    <row r="11" customFormat="false" ht="15" hidden="false" customHeight="false" outlineLevel="0" collapsed="false">
      <c r="A11" s="0" t="n">
        <v>202604</v>
      </c>
      <c r="B11" s="0" t="str">
        <f aca="false">CHOOSE(MOD(A11,100),"Gen","Feb","Mar","Apr","Mag","Giu","Lug","Ago","Set","Ott","Nov","Dic")&amp;" "&amp;INT(A11/100)</f>
        <v>Apr 2026</v>
      </c>
      <c r="C11" s="51" t="n">
        <f aca="false">SUMIFS(Transazioni!$D$2:$D$494,Transazioni!$G$2:$G$494,A11,Transazioni!$C$2:$C$494,"Entrata")</f>
        <v>4371.98</v>
      </c>
      <c r="D11" s="51" t="n">
        <f aca="false">SUMIFS(Transazioni!$D$2:$D$494,Transazioni!$G$2:$G$494,A11,Transazioni!$C$2:$C$494,"Uscita")</f>
        <v>1972.74</v>
      </c>
      <c r="E11" s="51" t="n">
        <f aca="false">C11-D11</f>
        <v>2399.24</v>
      </c>
      <c r="F11" s="52" t="n">
        <f aca="false">IFERROR(E11/C11,0)</f>
        <v>0.548776526882557</v>
      </c>
      <c r="G11" s="51" t="n">
        <f aca="false">G10+E11</f>
        <v>24499.19</v>
      </c>
      <c r="I11" s="53" t="s">
        <v>64</v>
      </c>
      <c r="J11" s="51" t="n">
        <f aca="false">SUMIFS(Transazioni!$D$2:$D$494,Transazioni!$C$2:$C$494,"Entrata")-SUMIFS(Transazioni!$D$2:$D$494,Transazioni!$C$2:$C$494,"Uscita")</f>
        <v>33947.02</v>
      </c>
    </row>
    <row r="12" customFormat="false" ht="15" hidden="false" customHeight="false" outlineLevel="0" collapsed="false">
      <c r="A12" s="0" t="n">
        <v>202605</v>
      </c>
      <c r="B12" s="0" t="str">
        <f aca="false">CHOOSE(MOD(A12,100),"Gen","Feb","Mar","Apr","Mag","Giu","Lug","Ago","Set","Ott","Nov","Dic")&amp;" "&amp;INT(A12/100)</f>
        <v>Mag 2026</v>
      </c>
      <c r="C12" s="51" t="n">
        <f aca="false">SUMIFS(Transazioni!$D$2:$D$494,Transazioni!$G$2:$G$494,A12,Transazioni!$C$2:$C$494,"Entrata")</f>
        <v>4566.81</v>
      </c>
      <c r="D12" s="51" t="n">
        <f aca="false">SUMIFS(Transazioni!$D$2:$D$494,Transazioni!$G$2:$G$494,A12,Transazioni!$C$2:$C$494,"Uscita")</f>
        <v>2319.41</v>
      </c>
      <c r="E12" s="51" t="n">
        <f aca="false">C12-D12</f>
        <v>2247.4</v>
      </c>
      <c r="F12" s="52" t="n">
        <f aca="false">IFERROR(E12/C12,0)</f>
        <v>0.492115940886527</v>
      </c>
      <c r="G12" s="51" t="n">
        <f aca="false">G11+E12</f>
        <v>26746.59</v>
      </c>
      <c r="I12" s="53" t="s">
        <v>65</v>
      </c>
      <c r="J12" s="54" t="n">
        <f aca="false">14</f>
        <v>14</v>
      </c>
    </row>
    <row r="13" customFormat="false" ht="15" hidden="false" customHeight="false" outlineLevel="0" collapsed="false">
      <c r="A13" s="0" t="n">
        <v>202606</v>
      </c>
      <c r="B13" s="0" t="str">
        <f aca="false">CHOOSE(MOD(A13,100),"Gen","Feb","Mar","Apr","Mag","Giu","Lug","Ago","Set","Ott","Nov","Dic")&amp;" "&amp;INT(A13/100)</f>
        <v>Giu 2026</v>
      </c>
      <c r="C13" s="51" t="n">
        <f aca="false">SUMIFS(Transazioni!$D$2:$D$494,Transazioni!$G$2:$G$494,A13,Transazioni!$C$2:$C$494,"Entrata")</f>
        <v>4701.48</v>
      </c>
      <c r="D13" s="51" t="n">
        <f aca="false">SUMIFS(Transazioni!$D$2:$D$494,Transazioni!$G$2:$G$494,A13,Transazioni!$C$2:$C$494,"Uscita")</f>
        <v>2134.08</v>
      </c>
      <c r="E13" s="51" t="n">
        <f aca="false">C13-D13</f>
        <v>2567.4</v>
      </c>
      <c r="F13" s="52" t="n">
        <f aca="false">IFERROR(E13/C13,0)</f>
        <v>0.546083360984201</v>
      </c>
      <c r="G13" s="51" t="n">
        <f aca="false">G12+E13</f>
        <v>29313.99</v>
      </c>
    </row>
    <row r="14" customFormat="false" ht="15" hidden="false" customHeight="false" outlineLevel="0" collapsed="false">
      <c r="A14" s="0" t="n">
        <v>202607</v>
      </c>
      <c r="B14" s="0" t="str">
        <f aca="false">CHOOSE(MOD(A14,100),"Gen","Feb","Mar","Apr","Mag","Giu","Lug","Ago","Set","Ott","Nov","Dic")&amp;" "&amp;INT(A14/100)</f>
        <v>Lug 2026</v>
      </c>
      <c r="C14" s="51" t="n">
        <f aca="false">SUMIFS(Transazioni!$D$2:$D$494,Transazioni!$G$2:$G$494,A14,Transazioni!$C$2:$C$494,"Entrata")</f>
        <v>4454.01</v>
      </c>
      <c r="D14" s="51" t="n">
        <f aca="false">SUMIFS(Transazioni!$D$2:$D$494,Transazioni!$G$2:$G$494,A14,Transazioni!$C$2:$C$494,"Uscita")</f>
        <v>2013.32</v>
      </c>
      <c r="E14" s="51" t="n">
        <f aca="false">C14-D14</f>
        <v>2440.69</v>
      </c>
      <c r="F14" s="52" t="n">
        <f aca="false">IFERROR(E14/C14,0)</f>
        <v>0.547975868936082</v>
      </c>
      <c r="G14" s="51" t="n">
        <f aca="false">G13+E14</f>
        <v>31754.68</v>
      </c>
    </row>
    <row r="15" customFormat="false" ht="15" hidden="false" customHeight="false" outlineLevel="0" collapsed="false">
      <c r="A15" s="0" t="n">
        <v>202608</v>
      </c>
      <c r="B15" s="0" t="str">
        <f aca="false">CHOOSE(MOD(A15,100),"Gen","Feb","Mar","Apr","Mag","Giu","Lug","Ago","Set","Ott","Nov","Dic")&amp;" "&amp;INT(A15/100)</f>
        <v>Ago 2026</v>
      </c>
      <c r="C15" s="51" t="n">
        <f aca="false">SUMIFS(Transazioni!$D$2:$D$494,Transazioni!$G$2:$G$494,A15,Transazioni!$C$2:$C$494,"Entrata")</f>
        <v>4401.16</v>
      </c>
      <c r="D15" s="51" t="n">
        <f aca="false">SUMIFS(Transazioni!$D$2:$D$494,Transazioni!$G$2:$G$494,A15,Transazioni!$C$2:$C$494,"Uscita")</f>
        <v>2208.82</v>
      </c>
      <c r="E15" s="51" t="n">
        <f aca="false">C15-D15</f>
        <v>2192.34</v>
      </c>
      <c r="F15" s="52" t="n">
        <f aca="false">IFERROR(E15/C15,0)</f>
        <v>0.498127766316153</v>
      </c>
      <c r="G15" s="51" t="n">
        <f aca="false">G14+E15</f>
        <v>33947.02</v>
      </c>
    </row>
    <row r="20" customFormat="false" ht="15" hidden="false" customHeight="false" outlineLevel="0" collapsed="false">
      <c r="A20" s="50" t="s">
        <v>12</v>
      </c>
      <c r="B20" s="50" t="s">
        <v>66</v>
      </c>
      <c r="C20" s="50" t="s">
        <v>67</v>
      </c>
      <c r="D20" s="50" t="s">
        <v>68</v>
      </c>
    </row>
    <row r="21" customFormat="false" ht="15" hidden="false" customHeight="false" outlineLevel="0" collapsed="false">
      <c r="A21" s="0" t="str">
        <f aca="false">Budget!A2</f>
        <v>Alimentari</v>
      </c>
      <c r="B21" s="51" t="n">
        <f aca="false">SUMIFS(Transazioni!$D$2:$D$494,Transazioni!$B$2:$B$494,A21,Transazioni!$C$2:$C$494,"Uscita",Transazioni!$G$2:$G$494,$J$4)</f>
        <v>582.83</v>
      </c>
      <c r="C21" s="51" t="n">
        <f aca="false">Budget!B2</f>
        <v>550</v>
      </c>
      <c r="D21" s="52" t="n">
        <f aca="false">IFERROR(B21/C21,0)</f>
        <v>1.05969090909091</v>
      </c>
    </row>
    <row r="22" customFormat="false" ht="15" hidden="false" customHeight="false" outlineLevel="0" collapsed="false">
      <c r="A22" s="0" t="str">
        <f aca="false">Budget!A3</f>
        <v>Casa e Bollette</v>
      </c>
      <c r="B22" s="51" t="n">
        <f aca="false">SUMIFS(Transazioni!$D$2:$D$494,Transazioni!$B$2:$B$494,A22,Transazioni!$C$2:$C$494,"Uscita",Transazioni!$G$2:$G$494,$J$4)</f>
        <v>879.91</v>
      </c>
      <c r="C22" s="51" t="n">
        <f aca="false">Budget!B3</f>
        <v>900</v>
      </c>
      <c r="D22" s="52" t="n">
        <f aca="false">IFERROR(B22/C22,0)</f>
        <v>0.977677777777778</v>
      </c>
    </row>
    <row r="23" customFormat="false" ht="15" hidden="false" customHeight="false" outlineLevel="0" collapsed="false">
      <c r="A23" s="0" t="str">
        <f aca="false">Budget!A4</f>
        <v>Trasporti</v>
      </c>
      <c r="B23" s="51" t="n">
        <f aca="false">SUMIFS(Transazioni!$D$2:$D$494,Transazioni!$B$2:$B$494,A23,Transazioni!$C$2:$C$494,"Uscita",Transazioni!$G$2:$G$494,$J$4)</f>
        <v>140.55</v>
      </c>
      <c r="C23" s="51" t="n">
        <f aca="false">Budget!B4</f>
        <v>140</v>
      </c>
      <c r="D23" s="52" t="n">
        <f aca="false">IFERROR(B23/C23,0)</f>
        <v>1.00392857142857</v>
      </c>
    </row>
    <row r="24" customFormat="false" ht="15" hidden="false" customHeight="false" outlineLevel="0" collapsed="false">
      <c r="A24" s="0" t="str">
        <f aca="false">Budget!A5</f>
        <v>Ristoranti e Bar</v>
      </c>
      <c r="B24" s="51" t="n">
        <f aca="false">SUMIFS(Transazioni!$D$2:$D$494,Transazioni!$B$2:$B$494,A24,Transazioni!$C$2:$C$494,"Uscita",Transazioni!$G$2:$G$494,$J$4)</f>
        <v>130.41</v>
      </c>
      <c r="C24" s="51" t="n">
        <f aca="false">Budget!B5</f>
        <v>160</v>
      </c>
      <c r="D24" s="52" t="n">
        <f aca="false">IFERROR(B24/C24,0)</f>
        <v>0.8150625</v>
      </c>
    </row>
    <row r="25" customFormat="false" ht="15" hidden="false" customHeight="false" outlineLevel="0" collapsed="false">
      <c r="A25" s="0" t="str">
        <f aca="false">Budget!A6</f>
        <v>Svago</v>
      </c>
      <c r="B25" s="51" t="n">
        <f aca="false">SUMIFS(Transazioni!$D$2:$D$494,Transazioni!$B$2:$B$494,A25,Transazioni!$C$2:$C$494,"Uscita",Transazioni!$G$2:$G$494,$J$4)</f>
        <v>77.79</v>
      </c>
      <c r="C25" s="51" t="n">
        <f aca="false">Budget!B6</f>
        <v>100</v>
      </c>
      <c r="D25" s="52" t="n">
        <f aca="false">IFERROR(B25/C25,0)</f>
        <v>0.7779</v>
      </c>
    </row>
    <row r="26" customFormat="false" ht="15" hidden="false" customHeight="false" outlineLevel="0" collapsed="false">
      <c r="A26" s="0" t="str">
        <f aca="false">Budget!A7</f>
        <v>Salute</v>
      </c>
      <c r="B26" s="51" t="n">
        <f aca="false">SUMIFS(Transazioni!$D$2:$D$494,Transazioni!$B$2:$B$494,A26,Transazioni!$C$2:$C$494,"Uscita",Transazioni!$G$2:$G$494,$J$4)</f>
        <v>136.69</v>
      </c>
      <c r="C26" s="51" t="n">
        <f aca="false">Budget!B7</f>
        <v>90</v>
      </c>
      <c r="D26" s="52" t="n">
        <f aca="false">IFERROR(B26/C26,0)</f>
        <v>1.51877777777778</v>
      </c>
    </row>
    <row r="27" customFormat="false" ht="15" hidden="false" customHeight="false" outlineLevel="0" collapsed="false">
      <c r="A27" s="0" t="str">
        <f aca="false">Budget!A8</f>
        <v>Istruzione</v>
      </c>
      <c r="B27" s="51" t="n">
        <f aca="false">SUMIFS(Transazioni!$D$2:$D$494,Transazioni!$B$2:$B$494,A27,Transazioni!$C$2:$C$494,"Uscita",Transazioni!$G$2:$G$494,$J$4)</f>
        <v>83.75</v>
      </c>
      <c r="C27" s="51" t="n">
        <f aca="false">Budget!B8</f>
        <v>60</v>
      </c>
      <c r="D27" s="52" t="n">
        <f aca="false">IFERROR(B27/C27,0)</f>
        <v>1.39583333333333</v>
      </c>
    </row>
    <row r="28" customFormat="false" ht="15" hidden="false" customHeight="false" outlineLevel="0" collapsed="false">
      <c r="A28" s="0" t="str">
        <f aca="false">Budget!A9</f>
        <v>Abbigliamento</v>
      </c>
      <c r="B28" s="51" t="n">
        <f aca="false">SUMIFS(Transazioni!$D$2:$D$494,Transazioni!$B$2:$B$494,A28,Transazioni!$C$2:$C$494,"Uscita",Transazioni!$G$2:$G$494,$J$4)</f>
        <v>41.42</v>
      </c>
      <c r="C28" s="51" t="n">
        <f aca="false">Budget!B9</f>
        <v>90</v>
      </c>
      <c r="D28" s="52" t="n">
        <f aca="false">IFERROR(B28/C28,0)</f>
        <v>0.460222222222222</v>
      </c>
    </row>
    <row r="29" customFormat="false" ht="15" hidden="false" customHeight="false" outlineLevel="0" collapsed="false">
      <c r="A29" s="0" t="str">
        <f aca="false">Budget!A10</f>
        <v>Assicurazioni</v>
      </c>
      <c r="B29" s="51" t="n">
        <f aca="false">SUMIFS(Transazioni!$D$2:$D$494,Transazioni!$B$2:$B$494,A29,Transazioni!$C$2:$C$494,"Uscita",Transazioni!$G$2:$G$494,$J$4)</f>
        <v>98.37</v>
      </c>
      <c r="C29" s="51" t="n">
        <f aca="false">Budget!B10</f>
        <v>100</v>
      </c>
      <c r="D29" s="52" t="n">
        <f aca="false">IFERROR(B29/C29,0)</f>
        <v>0.9837</v>
      </c>
    </row>
    <row r="30" customFormat="false" ht="15" hidden="false" customHeight="false" outlineLevel="0" collapsed="false">
      <c r="A30" s="0" t="str">
        <f aca="false">Budget!A11</f>
        <v>Altre Spese</v>
      </c>
      <c r="B30" s="51" t="n">
        <f aca="false">SUMIFS(Transazioni!$D$2:$D$494,Transazioni!$B$2:$B$494,A30,Transazioni!$C$2:$C$494,"Uscita",Transazioni!$G$2:$G$494,$J$4)</f>
        <v>37.1</v>
      </c>
      <c r="C30" s="51" t="n">
        <f aca="false">Budget!B11</f>
        <v>90</v>
      </c>
      <c r="D30" s="52" t="n">
        <f aca="false">IFERROR(B30/C30,0)</f>
        <v>0.412222222222222</v>
      </c>
    </row>
    <row r="32" customFormat="false" ht="15" hidden="false" customHeight="false" outlineLevel="0" collapsed="false">
      <c r="I32" s="53" t="s">
        <v>69</v>
      </c>
      <c r="J32" s="0" t="str">
        <f aca="false">INDEX($A$21:$A$30,MATCH(MAX($B$21:$B$30),$B$21:$B$30,0))</f>
        <v>Casa e Bollette</v>
      </c>
    </row>
    <row r="33" customFormat="false" ht="15" hidden="false" customHeight="false" outlineLevel="0" collapsed="false">
      <c r="I33" s="53" t="s">
        <v>70</v>
      </c>
      <c r="J33" s="51" t="n">
        <f aca="false">MAX($B$21:$B$30)</f>
        <v>879.91</v>
      </c>
    </row>
    <row r="34" customFormat="false" ht="15" hidden="false" customHeight="false" outlineLevel="0" collapsed="false">
      <c r="I34" s="53" t="s">
        <v>71</v>
      </c>
      <c r="J34" s="0" t="str">
        <f aca="false">INDEX($A$21:$A$30,MATCH(MAX($D$21:$D$30),$D$21:$D$30,0))</f>
        <v>Salute</v>
      </c>
    </row>
    <row r="35" customFormat="false" ht="15" hidden="false" customHeight="false" outlineLevel="0" collapsed="false">
      <c r="I35" s="53" t="s">
        <v>72</v>
      </c>
      <c r="J35" s="52" t="n">
        <f aca="false">MAX($D$21:$D$30)</f>
        <v>1.51877777777778</v>
      </c>
    </row>
    <row r="36" customFormat="false" ht="15" hidden="false" customHeight="false" outlineLevel="0" collapsed="false">
      <c r="I36" s="53" t="s">
        <v>73</v>
      </c>
      <c r="J36" s="54" t="n">
        <f aca="false">COUNTIF($D$21:$D$30,"&gt;1")</f>
        <v>4</v>
      </c>
    </row>
    <row r="37" customFormat="false" ht="15" hidden="false" customHeight="false" outlineLevel="0" collapsed="false">
      <c r="I37" s="53" t="s">
        <v>74</v>
      </c>
      <c r="J37" s="51" t="n">
        <f aca="false">INDEX($B$21:$B$30,MATCH(MAX($D$21:$D$30),$D$21:$D$30,0))-INDEX($C$21:$C$30,MATCH(MAX($D$21:$D$30),$D$21:$D$30,0))</f>
        <v>46.69</v>
      </c>
    </row>
    <row r="39" customFormat="false" ht="15" hidden="false" customHeight="false" outlineLevel="0" collapsed="false">
      <c r="A39" s="50" t="s">
        <v>75</v>
      </c>
      <c r="B39" s="50" t="s">
        <v>15</v>
      </c>
      <c r="C39" s="50" t="s">
        <v>12</v>
      </c>
      <c r="D39" s="50" t="s">
        <v>16</v>
      </c>
      <c r="E39" s="50" t="s">
        <v>17</v>
      </c>
      <c r="F39" s="50" t="s">
        <v>76</v>
      </c>
    </row>
    <row r="40" customFormat="false" ht="15" hidden="false" customHeight="false" outlineLevel="0" collapsed="false">
      <c r="A40" s="0" t="n">
        <v>1</v>
      </c>
      <c r="B40" s="55" t="n">
        <f aca="false">IFERROR(INDEX(Transazioni!$A$2:$A$494,MATCH($A40,Transazioni!$J$2:$J$494,0)),"")</f>
        <v>46261.5340277778</v>
      </c>
      <c r="C40" s="0" t="str">
        <f aca="false">IFERROR(INDEX(Transazioni!$B$2:$B$494,MATCH($A40,Transazioni!$J$2:$J$494,0)),"")</f>
        <v>Salute</v>
      </c>
      <c r="D40" s="0" t="str">
        <f aca="false">IFERROR(INDEX(Transazioni!$C$2:$C$494,MATCH($A40,Transazioni!$J$2:$J$494,0)),"")</f>
        <v>Uscita</v>
      </c>
      <c r="E40" s="51" t="n">
        <f aca="false">IFERROR(INDEX(Transazioni!$D$2:$D$494,MATCH($A40,Transazioni!$J$2:$J$494,0)),"")</f>
        <v>53.54</v>
      </c>
      <c r="F40" s="51" t="n">
        <f aca="false">IF(D40="","",IF(D40="Entrata",E40,-E40))</f>
        <v>-53.54</v>
      </c>
    </row>
    <row r="41" customFormat="false" ht="15" hidden="false" customHeight="false" outlineLevel="0" collapsed="false">
      <c r="A41" s="0" t="n">
        <v>2</v>
      </c>
      <c r="B41" s="55" t="n">
        <f aca="false">IFERROR(INDEX(Transazioni!$A$2:$A$494,MATCH($A41,Transazioni!$J$2:$J$494,0)),"")</f>
        <v>46261.4395833333</v>
      </c>
      <c r="C41" s="0" t="str">
        <f aca="false">IFERROR(INDEX(Transazioni!$B$2:$B$494,MATCH($A41,Transazioni!$J$2:$J$494,0)),"")</f>
        <v>Istruzione</v>
      </c>
      <c r="D41" s="0" t="str">
        <f aca="false">IFERROR(INDEX(Transazioni!$C$2:$C$494,MATCH($A41,Transazioni!$J$2:$J$494,0)),"")</f>
        <v>Uscita</v>
      </c>
      <c r="E41" s="51" t="n">
        <f aca="false">IFERROR(INDEX(Transazioni!$D$2:$D$494,MATCH($A41,Transazioni!$J$2:$J$494,0)),"")</f>
        <v>83.75</v>
      </c>
      <c r="F41" s="51" t="n">
        <f aca="false">IF(D41="","",IF(D41="Entrata",E41,-E41))</f>
        <v>-83.75</v>
      </c>
    </row>
    <row r="42" customFormat="false" ht="15" hidden="false" customHeight="false" outlineLevel="0" collapsed="false">
      <c r="A42" s="0" t="n">
        <v>3</v>
      </c>
      <c r="B42" s="55" t="n">
        <f aca="false">IFERROR(INDEX(Transazioni!$A$2:$A$494,MATCH($A42,Transazioni!$J$2:$J$494,0)),"")</f>
        <v>46261.3784722222</v>
      </c>
      <c r="C42" s="0" t="str">
        <f aca="false">IFERROR(INDEX(Transazioni!$B$2:$B$494,MATCH($A42,Transazioni!$J$2:$J$494,0)),"")</f>
        <v>Stipendio Partner</v>
      </c>
      <c r="D42" s="0" t="str">
        <f aca="false">IFERROR(INDEX(Transazioni!$C$2:$C$494,MATCH($A42,Transazioni!$J$2:$J$494,0)),"")</f>
        <v>Entrata</v>
      </c>
      <c r="E42" s="51" t="n">
        <f aca="false">IFERROR(INDEX(Transazioni!$D$2:$D$494,MATCH($A42,Transazioni!$J$2:$J$494,0)),"")</f>
        <v>1999.98</v>
      </c>
      <c r="F42" s="51" t="n">
        <f aca="false">IF(D42="","",IF(D42="Entrata",E42,-E42))</f>
        <v>1999.98</v>
      </c>
    </row>
    <row r="43" customFormat="false" ht="15" hidden="false" customHeight="false" outlineLevel="0" collapsed="false">
      <c r="A43" s="0" t="n">
        <v>4</v>
      </c>
      <c r="B43" s="55" t="n">
        <f aca="false">IFERROR(INDEX(Transazioni!$A$2:$A$494,MATCH($A43,Transazioni!$J$2:$J$494,0)),"")</f>
        <v>46261.375</v>
      </c>
      <c r="C43" s="0" t="str">
        <f aca="false">IFERROR(INDEX(Transazioni!$B$2:$B$494,MATCH($A43,Transazioni!$J$2:$J$494,0)),"")</f>
        <v>Stipendio</v>
      </c>
      <c r="D43" s="0" t="str">
        <f aca="false">IFERROR(INDEX(Transazioni!$C$2:$C$494,MATCH($A43,Transazioni!$J$2:$J$494,0)),"")</f>
        <v>Entrata</v>
      </c>
      <c r="E43" s="51" t="n">
        <f aca="false">IFERROR(INDEX(Transazioni!$D$2:$D$494,MATCH($A43,Transazioni!$J$2:$J$494,0)),"")</f>
        <v>2352.62</v>
      </c>
      <c r="F43" s="51" t="n">
        <f aca="false">IF(D43="","",IF(D43="Entrata",E43,-E43))</f>
        <v>2352.62</v>
      </c>
    </row>
    <row r="44" customFormat="false" ht="15" hidden="false" customHeight="false" outlineLevel="0" collapsed="false">
      <c r="A44" s="0" t="n">
        <v>5</v>
      </c>
      <c r="B44" s="55" t="n">
        <f aca="false">IFERROR(INDEX(Transazioni!$A$2:$A$494,MATCH($A44,Transazioni!$J$2:$J$494,0)),"")</f>
        <v>46260.9173611111</v>
      </c>
      <c r="C44" s="0" t="str">
        <f aca="false">IFERROR(INDEX(Transazioni!$B$2:$B$494,MATCH($A44,Transazioni!$J$2:$J$494,0)),"")</f>
        <v>Ristoranti e Bar</v>
      </c>
      <c r="D44" s="0" t="str">
        <f aca="false">IFERROR(INDEX(Transazioni!$C$2:$C$494,MATCH($A44,Transazioni!$J$2:$J$494,0)),"")</f>
        <v>Uscita</v>
      </c>
      <c r="E44" s="51" t="n">
        <f aca="false">IFERROR(INDEX(Transazioni!$D$2:$D$494,MATCH($A44,Transazioni!$J$2:$J$494,0)),"")</f>
        <v>57.89</v>
      </c>
      <c r="F44" s="51" t="n">
        <f aca="false">IF(D44="","",IF(D44="Entrata",E44,-E44))</f>
        <v>-57.89</v>
      </c>
    </row>
    <row r="45" customFormat="false" ht="15" hidden="false" customHeight="false" outlineLevel="0" collapsed="false">
      <c r="A45" s="0" t="n">
        <v>6</v>
      </c>
      <c r="B45" s="55" t="n">
        <f aca="false">IFERROR(INDEX(Transazioni!$A$2:$A$494,MATCH($A45,Transazioni!$J$2:$J$494,0)),"")</f>
        <v>46260.7375</v>
      </c>
      <c r="C45" s="0" t="str">
        <f aca="false">IFERROR(INDEX(Transazioni!$B$2:$B$494,MATCH($A45,Transazioni!$J$2:$J$494,0)),"")</f>
        <v>Trasporti</v>
      </c>
      <c r="D45" s="0" t="str">
        <f aca="false">IFERROR(INDEX(Transazioni!$C$2:$C$494,MATCH($A45,Transazioni!$J$2:$J$494,0)),"")</f>
        <v>Uscita</v>
      </c>
      <c r="E45" s="51" t="n">
        <f aca="false">IFERROR(INDEX(Transazioni!$D$2:$D$494,MATCH($A45,Transazioni!$J$2:$J$494,0)),"")</f>
        <v>31.63</v>
      </c>
      <c r="F45" s="51" t="n">
        <f aca="false">IF(D45="","",IF(D45="Entrata",E45,-E45))</f>
        <v>-31.63</v>
      </c>
    </row>
    <row r="46" customFormat="false" ht="15" hidden="false" customHeight="false" outlineLevel="0" collapsed="false">
      <c r="A46" s="0" t="n">
        <v>7</v>
      </c>
      <c r="B46" s="55" t="n">
        <f aca="false">IFERROR(INDEX(Transazioni!$A$2:$A$494,MATCH($A46,Transazioni!$J$2:$J$494,0)),"")</f>
        <v>46257.925</v>
      </c>
      <c r="C46" s="0" t="str">
        <f aca="false">IFERROR(INDEX(Transazioni!$B$2:$B$494,MATCH($A46,Transazioni!$J$2:$J$494,0)),"")</f>
        <v>Trasporti</v>
      </c>
      <c r="D46" s="0" t="str">
        <f aca="false">IFERROR(INDEX(Transazioni!$C$2:$C$494,MATCH($A46,Transazioni!$J$2:$J$494,0)),"")</f>
        <v>Uscita</v>
      </c>
      <c r="E46" s="51" t="n">
        <f aca="false">IFERROR(INDEX(Transazioni!$D$2:$D$494,MATCH($A46,Transazioni!$J$2:$J$494,0)),"")</f>
        <v>30.16</v>
      </c>
      <c r="F46" s="51" t="n">
        <f aca="false">IF(D46="","",IF(D46="Entrata",E46,-E46))</f>
        <v>-30.16</v>
      </c>
    </row>
    <row r="47" customFormat="false" ht="15" hidden="false" customHeight="false" outlineLevel="0" collapsed="false">
      <c r="A47" s="0" t="n">
        <v>8</v>
      </c>
      <c r="B47" s="55" t="n">
        <f aca="false">IFERROR(INDEX(Transazioni!$A$2:$A$494,MATCH($A47,Transazioni!$J$2:$J$494,0)),"")</f>
        <v>46257.8784722222</v>
      </c>
      <c r="C47" s="0" t="str">
        <f aca="false">IFERROR(INDEX(Transazioni!$B$2:$B$494,MATCH($A47,Transazioni!$J$2:$J$494,0)),"")</f>
        <v>Trasporti</v>
      </c>
      <c r="D47" s="0" t="str">
        <f aca="false">IFERROR(INDEX(Transazioni!$C$2:$C$494,MATCH($A47,Transazioni!$J$2:$J$494,0)),"")</f>
        <v>Uscita</v>
      </c>
      <c r="E47" s="51" t="n">
        <f aca="false">IFERROR(INDEX(Transazioni!$D$2:$D$494,MATCH($A47,Transazioni!$J$2:$J$494,0)),"")</f>
        <v>9.97</v>
      </c>
      <c r="F47" s="51" t="n">
        <f aca="false">IF(D47="","",IF(D47="Entrata",E47,-E47))</f>
        <v>-9.97</v>
      </c>
    </row>
    <row r="48" customFormat="false" ht="15" hidden="false" customHeight="false" outlineLevel="0" collapsed="false">
      <c r="A48" s="0" t="n">
        <v>9</v>
      </c>
      <c r="B48" s="55" t="n">
        <f aca="false">IFERROR(INDEX(Transazioni!$A$2:$A$494,MATCH($A48,Transazioni!$J$2:$J$494,0)),"")</f>
        <v>46255.69375</v>
      </c>
      <c r="C48" s="0" t="str">
        <f aca="false">IFERROR(INDEX(Transazioni!$B$2:$B$494,MATCH($A48,Transazioni!$J$2:$J$494,0)),"")</f>
        <v>Altre Spese</v>
      </c>
      <c r="D48" s="0" t="str">
        <f aca="false">IFERROR(INDEX(Transazioni!$C$2:$C$494,MATCH($A48,Transazioni!$J$2:$J$494,0)),"")</f>
        <v>Uscita</v>
      </c>
      <c r="E48" s="51" t="n">
        <f aca="false">IFERROR(INDEX(Transazioni!$D$2:$D$494,MATCH($A48,Transazioni!$J$2:$J$494,0)),"")</f>
        <v>13.54</v>
      </c>
      <c r="F48" s="51" t="n">
        <f aca="false">IF(D48="","",IF(D48="Entrata",E48,-E48))</f>
        <v>-13.54</v>
      </c>
    </row>
    <row r="49" customFormat="false" ht="15" hidden="false" customHeight="false" outlineLevel="0" collapsed="false">
      <c r="A49" s="0" t="n">
        <v>10</v>
      </c>
      <c r="B49" s="55" t="n">
        <f aca="false">IFERROR(INDEX(Transazioni!$A$2:$A$494,MATCH($A49,Transazioni!$J$2:$J$494,0)),"")</f>
        <v>46253.3805555556</v>
      </c>
      <c r="C49" s="0" t="str">
        <f aca="false">IFERROR(INDEX(Transazioni!$B$2:$B$494,MATCH($A49,Transazioni!$J$2:$J$494,0)),"")</f>
        <v>Svago</v>
      </c>
      <c r="D49" s="0" t="str">
        <f aca="false">IFERROR(INDEX(Transazioni!$C$2:$C$494,MATCH($A49,Transazioni!$J$2:$J$494,0)),"")</f>
        <v>Uscita</v>
      </c>
      <c r="E49" s="51" t="n">
        <f aca="false">IFERROR(INDEX(Transazioni!$D$2:$D$494,MATCH($A49,Transazioni!$J$2:$J$494,0)),"")</f>
        <v>3</v>
      </c>
      <c r="F49" s="51" t="n">
        <f aca="false">IF(D49="","",IF(D49="Entrata",E49,-E49))</f>
        <v>-3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B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1" customFormat="false" ht="24" hidden="false" customHeight="true" outlineLevel="0" collapsed="false">
      <c r="A1" s="3"/>
      <c r="B1" s="56" t="s">
        <v>77</v>
      </c>
    </row>
    <row r="2" customFormat="false" ht="19.5" hidden="false" customHeight="true" outlineLevel="0" collapsed="false">
      <c r="A2" s="3"/>
      <c r="B2" s="3"/>
    </row>
    <row r="3" customFormat="false" ht="24" hidden="false" customHeight="true" outlineLevel="0" collapsed="false">
      <c r="A3" s="3"/>
      <c r="B3" s="57" t="s">
        <v>78</v>
      </c>
    </row>
    <row r="4" customFormat="false" ht="39.75" hidden="false" customHeight="true" outlineLevel="0" collapsed="false">
      <c r="A4" s="3"/>
      <c r="B4" s="58" t="s">
        <v>79</v>
      </c>
    </row>
    <row r="5" customFormat="false" ht="19.5" hidden="false" customHeight="true" outlineLevel="0" collapsed="false">
      <c r="A5" s="3"/>
      <c r="B5" s="3"/>
    </row>
    <row r="6" customFormat="false" ht="39.75" hidden="false" customHeight="true" outlineLevel="0" collapsed="false">
      <c r="A6" s="3"/>
      <c r="B6" s="58" t="s">
        <v>80</v>
      </c>
    </row>
    <row r="7" customFormat="false" ht="39.75" hidden="false" customHeight="true" outlineLevel="0" collapsed="false">
      <c r="A7" s="3"/>
      <c r="B7" s="58" t="s">
        <v>81</v>
      </c>
    </row>
    <row r="8" customFormat="false" ht="55.5" hidden="false" customHeight="true" outlineLevel="0" collapsed="false">
      <c r="A8" s="3"/>
      <c r="B8" s="58" t="s">
        <v>82</v>
      </c>
    </row>
    <row r="9" customFormat="false" ht="39.75" hidden="false" customHeight="true" outlineLevel="0" collapsed="false">
      <c r="A9" s="3"/>
      <c r="B9" s="58" t="s">
        <v>83</v>
      </c>
    </row>
    <row r="10" customFormat="false" ht="19.5" hidden="false" customHeight="true" outlineLevel="0" collapsed="false">
      <c r="A10" s="3"/>
      <c r="B10" s="3"/>
    </row>
    <row r="11" customFormat="false" ht="24" hidden="false" customHeight="true" outlineLevel="0" collapsed="false">
      <c r="A11" s="3"/>
      <c r="B11" s="57" t="s">
        <v>84</v>
      </c>
    </row>
    <row r="12" customFormat="false" ht="39.75" hidden="false" customHeight="true" outlineLevel="0" collapsed="false">
      <c r="A12" s="3"/>
      <c r="B12" s="58" t="s">
        <v>85</v>
      </c>
    </row>
    <row r="13" customFormat="false" ht="39.75" hidden="false" customHeight="true" outlineLevel="0" collapsed="false">
      <c r="A13" s="3"/>
      <c r="B13" s="58" t="s">
        <v>86</v>
      </c>
    </row>
    <row r="14" customFormat="false" ht="19.5" hidden="false" customHeight="true" outlineLevel="0" collapsed="false">
      <c r="A14" s="3"/>
      <c r="B14" s="3"/>
    </row>
    <row r="15" customFormat="false" ht="24" hidden="false" customHeight="true" outlineLevel="0" collapsed="false">
      <c r="A15" s="3"/>
      <c r="B15" s="57" t="s">
        <v>87</v>
      </c>
    </row>
    <row r="16" customFormat="false" ht="39.75" hidden="false" customHeight="true" outlineLevel="0" collapsed="false">
      <c r="A16" s="3"/>
      <c r="B16" s="58" t="s">
        <v>88</v>
      </c>
    </row>
    <row r="17" customFormat="false" ht="39.75" hidden="false" customHeight="true" outlineLevel="0" collapsed="false">
      <c r="A17" s="3"/>
      <c r="B17" s="58" t="s">
        <v>89</v>
      </c>
    </row>
    <row r="18" customFormat="false" ht="39.75" hidden="false" customHeight="true" outlineLevel="0" collapsed="false">
      <c r="A18" s="3"/>
      <c r="B18" s="58" t="s">
        <v>90</v>
      </c>
    </row>
    <row r="19" customFormat="false" ht="39.75" hidden="false" customHeight="true" outlineLevel="0" collapsed="false">
      <c r="A19" s="3"/>
      <c r="B19" s="58" t="s">
        <v>91</v>
      </c>
    </row>
    <row r="20" customFormat="false" ht="19.5" hidden="false" customHeight="true" outlineLevel="0" collapsed="false">
      <c r="A20" s="3"/>
      <c r="B20" s="3"/>
    </row>
    <row r="21" customFormat="false" ht="24" hidden="false" customHeight="true" outlineLevel="0" collapsed="false">
      <c r="A21" s="3"/>
      <c r="B21" s="57" t="s">
        <v>92</v>
      </c>
    </row>
    <row r="22" customFormat="false" ht="24" hidden="false" customHeight="true" outlineLevel="0" collapsed="false">
      <c r="A22" s="3"/>
      <c r="B22" s="58" t="s">
        <v>93</v>
      </c>
    </row>
    <row r="23" customFormat="false" ht="24" hidden="false" customHeight="true" outlineLevel="0" collapsed="false">
      <c r="A23" s="3"/>
      <c r="B23" s="58" t="s">
        <v>94</v>
      </c>
    </row>
    <row r="24" customFormat="false" ht="24" hidden="false" customHeight="true" outlineLevel="0" collapsed="false">
      <c r="A24" s="3"/>
      <c r="B24" s="58" t="s">
        <v>95</v>
      </c>
    </row>
    <row r="25" customFormat="false" ht="39.75" hidden="false" customHeight="true" outlineLevel="0" collapsed="false">
      <c r="A25" s="3"/>
      <c r="B25" s="58" t="s">
        <v>96</v>
      </c>
    </row>
    <row r="26" customFormat="false" ht="19.5" hidden="false" customHeight="true" outlineLevel="0" collapsed="false">
      <c r="A26" s="3"/>
      <c r="B26" s="3"/>
    </row>
    <row r="27" customFormat="false" ht="24" hidden="false" customHeight="true" outlineLevel="0" collapsed="false">
      <c r="A27" s="3"/>
      <c r="B27" s="57" t="s">
        <v>97</v>
      </c>
    </row>
    <row r="28" customFormat="false" ht="19.5" hidden="false" customHeight="true" outlineLevel="0" collapsed="false">
      <c r="A28" s="3"/>
      <c r="B28" s="59" t="s">
        <v>98</v>
      </c>
    </row>
    <row r="29" customFormat="false" ht="19.5" hidden="false" customHeight="true" outlineLevel="0" collapsed="false">
      <c r="A29" s="3"/>
      <c r="B29" s="3"/>
    </row>
    <row r="30" customFormat="false" ht="15" hidden="false" customHeight="false" outlineLevel="0" collapsed="false">
      <c r="A30" s="3"/>
      <c r="B30" s="3"/>
    </row>
    <row r="31" customFormat="false" ht="15" hidden="false" customHeight="false" outlineLevel="0" collapsed="false">
      <c r="A31" s="3"/>
      <c r="B31" s="3"/>
    </row>
    <row r="32" customFormat="false" ht="15" hidden="false" customHeight="false" outlineLevel="0" collapsed="false">
      <c r="A32" s="3"/>
      <c r="B32" s="3"/>
    </row>
    <row r="33" customFormat="false" ht="15" hidden="false" customHeight="false" outlineLevel="0" collapsed="false">
      <c r="A33" s="3"/>
      <c r="B33" s="3"/>
    </row>
    <row r="34" customFormat="false" ht="15" hidden="false" customHeight="false" outlineLevel="0" collapsed="false">
      <c r="A34" s="3"/>
      <c r="B34" s="3"/>
    </row>
    <row r="35" customFormat="false" ht="15" hidden="false" customHeight="false" outlineLevel="0" collapsed="false">
      <c r="A35" s="3"/>
      <c r="B35" s="3"/>
    </row>
    <row r="36" customFormat="false" ht="15" hidden="false" customHeight="false" outlineLevel="0" collapsed="false">
      <c r="A36" s="3"/>
      <c r="B36" s="3"/>
    </row>
    <row r="37" customFormat="false" ht="15" hidden="false" customHeight="false" outlineLevel="0" collapsed="false">
      <c r="A37" s="3"/>
      <c r="B37" s="3"/>
    </row>
    <row r="38" customFormat="false" ht="15" hidden="false" customHeight="false" outlineLevel="0" collapsed="false">
      <c r="A38" s="3"/>
      <c r="B38" s="3"/>
    </row>
    <row r="39" customFormat="false" ht="15" hidden="false" customHeight="false" outlineLevel="0" collapsed="false">
      <c r="A39" s="3"/>
      <c r="B3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2026-08-04T13:48:51Z</dcterms:created>
  <dc:creator>openpyxl</dc:creator>
  <dc:description/>
  <dc:language>en-US</dc:language>
  <cp:lastModifiedBy/>
  <dcterms:modified xsi:type="dcterms:W3CDTF">2026-08-04T13:48:53Z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